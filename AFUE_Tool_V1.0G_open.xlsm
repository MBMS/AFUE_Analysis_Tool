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zg\Documents\dell_labtop\workathome\tcf21\tcf_AGT\labcall2018\"/>
    </mc:Choice>
  </mc:AlternateContent>
  <xr:revisionPtr revIDLastSave="0" documentId="13_ncr:1_{F6BFFA69-C022-4A52-A138-D7073434E4CF}" xr6:coauthVersionLast="47" xr6:coauthVersionMax="47" xr10:uidLastSave="{00000000-0000-0000-0000-000000000000}"/>
  <bookViews>
    <workbookView xWindow="67080" yWindow="-120" windowWidth="29040" windowHeight="17520" tabRatio="712" activeTab="9" xr2:uid="{E5F52583-6FDA-45EE-8A9D-03FBC6A80010}"/>
  </bookViews>
  <sheets>
    <sheet name="SelectScenario" sheetId="1" r:id="rId1"/>
    <sheet name="DATAINPUTncnm" sheetId="2" state="hidden" r:id="rId2"/>
    <sheet name="AFUEAncnm" sheetId="3" state="hidden" r:id="rId3"/>
    <sheet name="DATAINPUTcnm" sheetId="9" state="hidden" r:id="rId4"/>
    <sheet name="AFUEAcnm" sheetId="8" state="hidden" r:id="rId5"/>
    <sheet name="DATAINPUTncm" sheetId="10" state="hidden" r:id="rId6"/>
    <sheet name="AFUEAncm" sheetId="11" state="hidden" r:id="rId7"/>
    <sheet name="DATAINPUTcm" sheetId="12" r:id="rId8"/>
    <sheet name="AFUEAcm" sheetId="13" r:id="rId9"/>
    <sheet name="Helps" sheetId="4" r:id="rId10"/>
    <sheet name="Others" sheetId="5" state="hidden" r:id="rId11"/>
  </sheets>
  <functionGroups builtInGroupCount="19"/>
  <definedNames>
    <definedName name="CPAIRBRITISH">Others!$F$3</definedName>
    <definedName name="CPAIRSI">Others!$G$3</definedName>
    <definedName name="SYSTEMNUMBER">SelectScenario!$G$5</definedName>
    <definedName name="UNIT">SelectScenario!$G$60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6" i="3" l="1"/>
  <c r="G47" i="1" l="1"/>
  <c r="G16" i="1" s="1"/>
  <c r="F115" i="9"/>
  <c r="F121" i="9" l="1"/>
  <c r="F110" i="9"/>
  <c r="F49" i="9" l="1"/>
  <c r="S69" i="9" l="1"/>
  <c r="S66" i="9"/>
  <c r="A66" i="9"/>
  <c r="F24" i="12" l="1"/>
  <c r="P27" i="13"/>
  <c r="S27" i="13" l="1"/>
  <c r="F115" i="12"/>
  <c r="M115" i="12" s="1"/>
  <c r="F106" i="12"/>
  <c r="M24" i="12"/>
  <c r="M106" i="12" s="1"/>
  <c r="M20" i="12"/>
  <c r="F20" i="12"/>
  <c r="F120" i="12" l="1"/>
  <c r="M120" i="12" s="1"/>
  <c r="B7" i="5"/>
  <c r="M49" i="12"/>
  <c r="F49" i="12"/>
  <c r="F110" i="12" s="1"/>
  <c r="M114" i="12" l="1"/>
  <c r="F114" i="12"/>
  <c r="F114" i="9"/>
  <c r="F119" i="9"/>
  <c r="F119" i="12"/>
  <c r="M119" i="12"/>
  <c r="M63" i="12"/>
  <c r="X73" i="10"/>
  <c r="X70" i="10"/>
  <c r="X67" i="10"/>
  <c r="X67" i="12"/>
  <c r="X70" i="12"/>
  <c r="X73" i="12"/>
  <c r="T66" i="12"/>
  <c r="M53" i="12"/>
  <c r="M110" i="12"/>
  <c r="P28" i="11"/>
  <c r="F93" i="12" l="1"/>
  <c r="F53" i="12" l="1"/>
  <c r="F63" i="12"/>
  <c r="N21" i="10" l="1"/>
  <c r="H14" i="13" l="1"/>
  <c r="H13" i="13"/>
  <c r="H12" i="13"/>
  <c r="H11" i="13"/>
  <c r="F121" i="12"/>
  <c r="F111" i="12"/>
  <c r="S69" i="12" l="1"/>
  <c r="S72" i="12"/>
  <c r="S66" i="12"/>
  <c r="N21" i="12" l="1"/>
  <c r="M54" i="12"/>
  <c r="F54" i="12"/>
  <c r="N54" i="12"/>
  <c r="G54" i="12"/>
  <c r="G33" i="12"/>
  <c r="G50" i="12"/>
  <c r="G58" i="12"/>
  <c r="T72" i="12" l="1"/>
  <c r="I36" i="13" l="1"/>
  <c r="M93" i="12" l="1"/>
  <c r="M17" i="12"/>
  <c r="L13" i="8" l="1"/>
  <c r="L11" i="8"/>
  <c r="G14" i="8"/>
  <c r="G13" i="8"/>
  <c r="G12" i="8"/>
  <c r="G11" i="8"/>
  <c r="P34" i="8"/>
  <c r="B75" i="13" l="1"/>
  <c r="M111" i="12"/>
  <c r="M107" i="12"/>
  <c r="N121" i="12"/>
  <c r="M121" i="12"/>
  <c r="G121" i="12"/>
  <c r="N120" i="12"/>
  <c r="G120" i="12"/>
  <c r="N116" i="12"/>
  <c r="M116" i="12"/>
  <c r="G116" i="12"/>
  <c r="F116" i="12"/>
  <c r="N100" i="13" s="1"/>
  <c r="N115" i="12"/>
  <c r="G115" i="12"/>
  <c r="N111" i="12"/>
  <c r="G111" i="12"/>
  <c r="N110" i="12"/>
  <c r="G110" i="12"/>
  <c r="N107" i="12"/>
  <c r="G107" i="12"/>
  <c r="F107" i="12"/>
  <c r="N106" i="12"/>
  <c r="G106" i="12"/>
  <c r="P75" i="13"/>
  <c r="Q92" i="13"/>
  <c r="C92" i="13"/>
  <c r="Q91" i="13"/>
  <c r="C91" i="13"/>
  <c r="Q88" i="13"/>
  <c r="J88" i="13"/>
  <c r="C88" i="13"/>
  <c r="Q87" i="13"/>
  <c r="J87" i="13"/>
  <c r="C87" i="13"/>
  <c r="C84" i="13"/>
  <c r="C83" i="13"/>
  <c r="Q80" i="13"/>
  <c r="J80" i="13"/>
  <c r="C80" i="13"/>
  <c r="Q79" i="13"/>
  <c r="J79" i="13"/>
  <c r="C79" i="13"/>
  <c r="Q49" i="13"/>
  <c r="Q48" i="13"/>
  <c r="Q41" i="13"/>
  <c r="Q38" i="13"/>
  <c r="C38" i="13"/>
  <c r="Q37" i="13"/>
  <c r="C37" i="13"/>
  <c r="Q36" i="13"/>
  <c r="P36" i="13"/>
  <c r="C36" i="13"/>
  <c r="Q24" i="13"/>
  <c r="J24" i="13"/>
  <c r="C24" i="13"/>
  <c r="Q23" i="13"/>
  <c r="J23" i="13"/>
  <c r="C23" i="13"/>
  <c r="E14" i="13"/>
  <c r="E13" i="13"/>
  <c r="E12" i="13"/>
  <c r="E11" i="13"/>
  <c r="M10" i="13"/>
  <c r="E10" i="13"/>
  <c r="E9" i="13"/>
  <c r="E8" i="13"/>
  <c r="M7" i="13"/>
  <c r="L7" i="13"/>
  <c r="E7" i="13"/>
  <c r="M6" i="13"/>
  <c r="L6" i="13"/>
  <c r="E6" i="13"/>
  <c r="M5" i="13"/>
  <c r="L5" i="13"/>
  <c r="F5" i="13"/>
  <c r="E5" i="13"/>
  <c r="E4" i="13"/>
  <c r="N101" i="12"/>
  <c r="L101" i="12"/>
  <c r="G101" i="12"/>
  <c r="E101" i="12"/>
  <c r="H100" i="12"/>
  <c r="A100" i="12"/>
  <c r="N97" i="12"/>
  <c r="L97" i="12"/>
  <c r="G97" i="12"/>
  <c r="E97" i="12"/>
  <c r="N87" i="12"/>
  <c r="G87" i="12"/>
  <c r="N86" i="12"/>
  <c r="G86" i="12"/>
  <c r="F83" i="12"/>
  <c r="G79" i="12"/>
  <c r="F79" i="12"/>
  <c r="E79" i="12"/>
  <c r="E78" i="12"/>
  <c r="N75" i="12"/>
  <c r="G75" i="12"/>
  <c r="X72" i="12"/>
  <c r="N71" i="12"/>
  <c r="G71" i="12"/>
  <c r="H70" i="12"/>
  <c r="A70" i="12"/>
  <c r="X69" i="12"/>
  <c r="T69" i="12"/>
  <c r="N67" i="12"/>
  <c r="G67" i="12"/>
  <c r="X66" i="12"/>
  <c r="H66" i="12"/>
  <c r="A66" i="12"/>
  <c r="X58" i="12"/>
  <c r="W58" i="12"/>
  <c r="N58" i="12"/>
  <c r="F58" i="12"/>
  <c r="M58" i="12"/>
  <c r="X52" i="12"/>
  <c r="N50" i="12"/>
  <c r="M50" i="12"/>
  <c r="F50" i="12"/>
  <c r="X49" i="12"/>
  <c r="X46" i="12"/>
  <c r="M45" i="12"/>
  <c r="I20" i="13" s="1"/>
  <c r="F45" i="12"/>
  <c r="I19" i="13" s="1"/>
  <c r="X43" i="12"/>
  <c r="M41" i="12"/>
  <c r="B20" i="13" s="1"/>
  <c r="F41" i="12"/>
  <c r="B19" i="13" s="1"/>
  <c r="W40" i="12"/>
  <c r="N37" i="12"/>
  <c r="M37" i="12"/>
  <c r="G37" i="12"/>
  <c r="F37" i="12"/>
  <c r="N33" i="12"/>
  <c r="M33" i="12"/>
  <c r="F33" i="12"/>
  <c r="N29" i="12"/>
  <c r="M29" i="12"/>
  <c r="G29" i="12"/>
  <c r="F29" i="12"/>
  <c r="N25" i="12"/>
  <c r="G25" i="12"/>
  <c r="F25" i="12"/>
  <c r="M25" i="12"/>
  <c r="M21" i="12"/>
  <c r="G21" i="12"/>
  <c r="F21" i="12"/>
  <c r="F17" i="12"/>
  <c r="F12" i="12"/>
  <c r="F11" i="12"/>
  <c r="F10" i="12"/>
  <c r="F9" i="12"/>
  <c r="F8" i="12"/>
  <c r="F7" i="12"/>
  <c r="F6" i="12"/>
  <c r="M5" i="12"/>
  <c r="L5" i="12"/>
  <c r="F5" i="12"/>
  <c r="M4" i="12"/>
  <c r="L4" i="12"/>
  <c r="F4" i="12"/>
  <c r="M3" i="12"/>
  <c r="L67" i="12" s="1"/>
  <c r="L3" i="12"/>
  <c r="G3" i="12"/>
  <c r="F3" i="12"/>
  <c r="F2" i="12"/>
  <c r="B27" i="13"/>
  <c r="B28" i="13"/>
  <c r="P28" i="13"/>
  <c r="I27" i="13" l="1"/>
  <c r="B31" i="13" s="1"/>
  <c r="E31" i="13" s="1"/>
  <c r="S28" i="13"/>
  <c r="E28" i="13"/>
  <c r="M101" i="12"/>
  <c r="M97" i="12" s="1"/>
  <c r="B53" i="13" s="1"/>
  <c r="B92" i="13" s="1"/>
  <c r="N101" i="13"/>
  <c r="F101" i="12"/>
  <c r="F97" i="12" s="1"/>
  <c r="B52" i="13" s="1"/>
  <c r="B23" i="13"/>
  <c r="P24" i="13"/>
  <c r="B48" i="13"/>
  <c r="P23" i="13"/>
  <c r="I23" i="13"/>
  <c r="I24" i="13"/>
  <c r="L87" i="12"/>
  <c r="E86" i="12"/>
  <c r="L86" i="12"/>
  <c r="E87" i="12"/>
  <c r="E70" i="12"/>
  <c r="L70" i="12"/>
  <c r="L71" i="12"/>
  <c r="E71" i="12"/>
  <c r="I28" i="13"/>
  <c r="B24" i="13"/>
  <c r="B49" i="13"/>
  <c r="E66" i="12"/>
  <c r="L66" i="12"/>
  <c r="E67" i="12"/>
  <c r="B91" i="13" l="1"/>
  <c r="E27" i="13"/>
  <c r="L27" i="13"/>
  <c r="L28" i="13"/>
  <c r="B32" i="13"/>
  <c r="E32" i="13" s="1"/>
  <c r="P51" i="3"/>
  <c r="P31" i="13" l="1"/>
  <c r="S31" i="13" s="1"/>
  <c r="P32" i="13"/>
  <c r="S32" i="13" s="1"/>
  <c r="P32" i="11"/>
  <c r="W40" i="9"/>
  <c r="X43" i="9"/>
  <c r="X46" i="9"/>
  <c r="X49" i="9"/>
  <c r="X52" i="9"/>
  <c r="W58" i="9"/>
  <c r="X58" i="9"/>
  <c r="B55" i="8"/>
  <c r="B71" i="8"/>
  <c r="P55" i="8"/>
  <c r="M57" i="10" l="1"/>
  <c r="C34" i="11" l="1"/>
  <c r="Q87" i="11"/>
  <c r="Q83" i="11"/>
  <c r="C79" i="11"/>
  <c r="Q75" i="11"/>
  <c r="C75" i="11"/>
  <c r="C83" i="11"/>
  <c r="Q45" i="11"/>
  <c r="J83" i="11"/>
  <c r="J75" i="11"/>
  <c r="H66" i="10"/>
  <c r="C87" i="11"/>
  <c r="Q34" i="11"/>
  <c r="Q37" i="11"/>
  <c r="Q33" i="11"/>
  <c r="C33" i="11"/>
  <c r="Q24" i="11"/>
  <c r="J24" i="11"/>
  <c r="N58" i="10"/>
  <c r="M58" i="10"/>
  <c r="C24" i="11"/>
  <c r="B23" i="11"/>
  <c r="M33" i="10"/>
  <c r="Q86" i="11"/>
  <c r="C86" i="11"/>
  <c r="Q82" i="11"/>
  <c r="J82" i="11"/>
  <c r="C82" i="11"/>
  <c r="C78" i="11"/>
  <c r="Q74" i="11"/>
  <c r="J74" i="11"/>
  <c r="C74" i="11"/>
  <c r="P70" i="11"/>
  <c r="Q44" i="11"/>
  <c r="Q32" i="11"/>
  <c r="I32" i="11"/>
  <c r="C32" i="11"/>
  <c r="Q23" i="11"/>
  <c r="J23" i="11"/>
  <c r="C23" i="11"/>
  <c r="H14" i="11"/>
  <c r="E14" i="11"/>
  <c r="H13" i="11"/>
  <c r="E13" i="11"/>
  <c r="H12" i="11"/>
  <c r="E12" i="11"/>
  <c r="H11" i="11"/>
  <c r="E11" i="11"/>
  <c r="M10" i="11"/>
  <c r="E10" i="11"/>
  <c r="E9" i="11"/>
  <c r="E8" i="11"/>
  <c r="M7" i="11"/>
  <c r="L7" i="11"/>
  <c r="E7" i="11"/>
  <c r="M6" i="11"/>
  <c r="L6" i="11"/>
  <c r="E6" i="11"/>
  <c r="M5" i="11"/>
  <c r="L5" i="11"/>
  <c r="F5" i="11"/>
  <c r="E5" i="11"/>
  <c r="E4" i="11"/>
  <c r="N101" i="10"/>
  <c r="L101" i="10"/>
  <c r="G101" i="10"/>
  <c r="E101" i="10"/>
  <c r="H100" i="10"/>
  <c r="A100" i="10"/>
  <c r="N97" i="10"/>
  <c r="L97" i="10"/>
  <c r="G97" i="10"/>
  <c r="E97" i="10"/>
  <c r="M93" i="10"/>
  <c r="F93" i="10"/>
  <c r="N87" i="10"/>
  <c r="G87" i="10"/>
  <c r="N86" i="10"/>
  <c r="G86" i="10"/>
  <c r="F83" i="10"/>
  <c r="G79" i="10"/>
  <c r="F79" i="10"/>
  <c r="E79" i="10"/>
  <c r="E78" i="10"/>
  <c r="N75" i="10"/>
  <c r="G75" i="10"/>
  <c r="X72" i="10"/>
  <c r="T72" i="10"/>
  <c r="N71" i="10"/>
  <c r="G71" i="10"/>
  <c r="H70" i="10"/>
  <c r="A70" i="10"/>
  <c r="X69" i="10"/>
  <c r="T69" i="10"/>
  <c r="N67" i="10"/>
  <c r="G67" i="10"/>
  <c r="X66" i="10"/>
  <c r="T66" i="10"/>
  <c r="A66" i="10"/>
  <c r="M63" i="10"/>
  <c r="F63" i="10"/>
  <c r="X58" i="10"/>
  <c r="W58" i="10"/>
  <c r="G58" i="10"/>
  <c r="F58" i="10"/>
  <c r="N54" i="10"/>
  <c r="M54" i="10"/>
  <c r="G54" i="10"/>
  <c r="F54" i="10"/>
  <c r="X52" i="10"/>
  <c r="N50" i="10"/>
  <c r="M50" i="10"/>
  <c r="G50" i="10"/>
  <c r="F50" i="10"/>
  <c r="X49" i="10"/>
  <c r="X46" i="10"/>
  <c r="M45" i="10"/>
  <c r="I20" i="11" s="1"/>
  <c r="F45" i="10"/>
  <c r="I19" i="11" s="1"/>
  <c r="X43" i="10"/>
  <c r="M41" i="10"/>
  <c r="B20" i="11" s="1"/>
  <c r="F41" i="10"/>
  <c r="B19" i="11" s="1"/>
  <c r="W40" i="10"/>
  <c r="N37" i="10"/>
  <c r="M37" i="10"/>
  <c r="G37" i="10"/>
  <c r="F37" i="10"/>
  <c r="N33" i="10"/>
  <c r="G33" i="10"/>
  <c r="F33" i="10"/>
  <c r="F101" i="10" s="1"/>
  <c r="F97" i="10" s="1"/>
  <c r="B48" i="11" s="1"/>
  <c r="B86" i="11" s="1"/>
  <c r="N29" i="10"/>
  <c r="M29" i="10"/>
  <c r="G29" i="10"/>
  <c r="F29" i="10"/>
  <c r="N25" i="10"/>
  <c r="M25" i="10"/>
  <c r="G25" i="10"/>
  <c r="F25" i="10"/>
  <c r="M21" i="10"/>
  <c r="G21" i="10"/>
  <c r="F21" i="10"/>
  <c r="M17" i="10"/>
  <c r="F17" i="10"/>
  <c r="F12" i="10"/>
  <c r="F11" i="10"/>
  <c r="F10" i="10"/>
  <c r="F9" i="10"/>
  <c r="F8" i="10"/>
  <c r="F7" i="10"/>
  <c r="F6" i="10"/>
  <c r="M5" i="10"/>
  <c r="L5" i="10"/>
  <c r="F5" i="10"/>
  <c r="M4" i="10"/>
  <c r="L4" i="10"/>
  <c r="F4" i="10"/>
  <c r="M3" i="10"/>
  <c r="E70" i="10" s="1"/>
  <c r="L3" i="10"/>
  <c r="G3" i="10"/>
  <c r="F3" i="10"/>
  <c r="F2" i="10"/>
  <c r="P27" i="11"/>
  <c r="B27" i="11"/>
  <c r="B28" i="11"/>
  <c r="I23" i="11" l="1"/>
  <c r="P24" i="11"/>
  <c r="P23" i="11"/>
  <c r="B44" i="11"/>
  <c r="I24" i="11"/>
  <c r="S28" i="11"/>
  <c r="E87" i="10"/>
  <c r="L86" i="10"/>
  <c r="E86" i="10"/>
  <c r="E66" i="10"/>
  <c r="E71" i="10"/>
  <c r="L70" i="10"/>
  <c r="L71" i="10"/>
  <c r="B45" i="11"/>
  <c r="M101" i="10"/>
  <c r="M97" i="10" s="1"/>
  <c r="B49" i="11" s="1"/>
  <c r="B24" i="11"/>
  <c r="E27" i="11"/>
  <c r="I27" i="11" s="1"/>
  <c r="S27" i="11"/>
  <c r="L87" i="10"/>
  <c r="E67" i="10"/>
  <c r="L67" i="10"/>
  <c r="L66" i="10"/>
  <c r="E28" i="11" l="1"/>
  <c r="I28" i="11" s="1"/>
  <c r="B87" i="11"/>
  <c r="F111" i="9"/>
  <c r="N106" i="9"/>
  <c r="N107" i="9"/>
  <c r="N111" i="9"/>
  <c r="N112" i="9"/>
  <c r="N115" i="9"/>
  <c r="N116" i="9"/>
  <c r="N120" i="9"/>
  <c r="N121" i="9"/>
  <c r="G120" i="9"/>
  <c r="G115" i="9"/>
  <c r="G106" i="9"/>
  <c r="G110" i="9"/>
  <c r="G121" i="9"/>
  <c r="G116" i="9"/>
  <c r="F107" i="9"/>
  <c r="G107" i="9"/>
  <c r="G111" i="9"/>
  <c r="I25" i="8" l="1"/>
  <c r="L25" i="8" s="1"/>
  <c r="L27" i="11"/>
  <c r="L28" i="11" l="1"/>
  <c r="F25" i="9"/>
  <c r="M121" i="9"/>
  <c r="M116" i="9"/>
  <c r="F116" i="9"/>
  <c r="N74" i="8" s="1"/>
  <c r="M112" i="9"/>
  <c r="L12" i="8" l="1"/>
  <c r="M107" i="9"/>
  <c r="N21" i="9"/>
  <c r="N101" i="9" l="1"/>
  <c r="L101" i="9"/>
  <c r="G101" i="9"/>
  <c r="E101" i="9"/>
  <c r="H100" i="9"/>
  <c r="A100" i="9"/>
  <c r="N97" i="9"/>
  <c r="L97" i="9"/>
  <c r="G97" i="9"/>
  <c r="E97" i="9"/>
  <c r="M93" i="9"/>
  <c r="F93" i="9"/>
  <c r="N87" i="9"/>
  <c r="G87" i="9"/>
  <c r="N86" i="9"/>
  <c r="G86" i="9"/>
  <c r="F83" i="9"/>
  <c r="N79" i="9"/>
  <c r="M79" i="9"/>
  <c r="L79" i="9"/>
  <c r="G79" i="9"/>
  <c r="F79" i="9"/>
  <c r="E79" i="9"/>
  <c r="L78" i="9"/>
  <c r="E78" i="9"/>
  <c r="N75" i="9"/>
  <c r="G75" i="9"/>
  <c r="X72" i="9"/>
  <c r="T72" i="9"/>
  <c r="N71" i="9"/>
  <c r="G71" i="9"/>
  <c r="H70" i="9"/>
  <c r="A70" i="9"/>
  <c r="X69" i="9"/>
  <c r="T69" i="9"/>
  <c r="N67" i="9"/>
  <c r="G67" i="9"/>
  <c r="X66" i="9"/>
  <c r="T66" i="9"/>
  <c r="H66" i="9"/>
  <c r="M63" i="9"/>
  <c r="F63" i="9"/>
  <c r="G58" i="9"/>
  <c r="F58" i="9"/>
  <c r="N54" i="9"/>
  <c r="M54" i="9"/>
  <c r="G54" i="9"/>
  <c r="F54" i="9"/>
  <c r="N50" i="9"/>
  <c r="M50" i="9"/>
  <c r="G50" i="9"/>
  <c r="F50" i="9"/>
  <c r="M45" i="9"/>
  <c r="F45" i="9"/>
  <c r="I19" i="8" s="1"/>
  <c r="M41" i="9"/>
  <c r="F41" i="9"/>
  <c r="B19" i="8" s="1"/>
  <c r="N37" i="9"/>
  <c r="M37" i="9"/>
  <c r="G37" i="9"/>
  <c r="F37" i="9"/>
  <c r="N33" i="9"/>
  <c r="M33" i="9"/>
  <c r="M101" i="9" s="1"/>
  <c r="G33" i="9"/>
  <c r="F33" i="9"/>
  <c r="R74" i="8" s="1"/>
  <c r="N29" i="9"/>
  <c r="M29" i="9"/>
  <c r="G29" i="9"/>
  <c r="F29" i="9"/>
  <c r="N25" i="9"/>
  <c r="M25" i="9"/>
  <c r="G25" i="9"/>
  <c r="M21" i="9"/>
  <c r="G21" i="9"/>
  <c r="F21" i="9"/>
  <c r="M17" i="9"/>
  <c r="F17" i="9"/>
  <c r="F12" i="9"/>
  <c r="F11" i="9"/>
  <c r="F10" i="9"/>
  <c r="F9" i="9"/>
  <c r="F8" i="9"/>
  <c r="F7" i="9"/>
  <c r="F6" i="9"/>
  <c r="M5" i="9"/>
  <c r="L5" i="9"/>
  <c r="F5" i="9"/>
  <c r="M4" i="9"/>
  <c r="L4" i="9"/>
  <c r="F4" i="9"/>
  <c r="M3" i="9"/>
  <c r="E70" i="9" s="1"/>
  <c r="L3" i="9"/>
  <c r="G3" i="9"/>
  <c r="F3" i="9"/>
  <c r="F2" i="9"/>
  <c r="P25" i="8"/>
  <c r="B25" i="8"/>
  <c r="I22" i="8" l="1"/>
  <c r="S25" i="8"/>
  <c r="B38" i="8"/>
  <c r="P22" i="8"/>
  <c r="B29" i="8"/>
  <c r="E29" i="8" s="1"/>
  <c r="F101" i="9"/>
  <c r="F97" i="9" s="1"/>
  <c r="B41" i="8" s="1"/>
  <c r="I41" i="8" s="1"/>
  <c r="B22" i="8"/>
  <c r="E66" i="9"/>
  <c r="L70" i="9"/>
  <c r="E86" i="9"/>
  <c r="E71" i="9"/>
  <c r="L86" i="9"/>
  <c r="L71" i="9"/>
  <c r="E87" i="9"/>
  <c r="L87" i="9"/>
  <c r="L66" i="9"/>
  <c r="E67" i="9"/>
  <c r="M97" i="9"/>
  <c r="L67" i="9"/>
  <c r="L10" i="3"/>
  <c r="G14" i="3"/>
  <c r="G13" i="3"/>
  <c r="G12" i="3"/>
  <c r="G11" i="3"/>
  <c r="F37" i="2"/>
  <c r="Q67" i="8"/>
  <c r="C67" i="8"/>
  <c r="Q64" i="8"/>
  <c r="J64" i="8"/>
  <c r="C64" i="8"/>
  <c r="C61" i="8"/>
  <c r="Q58" i="8"/>
  <c r="J58" i="8"/>
  <c r="C58" i="8"/>
  <c r="Q38" i="8"/>
  <c r="Q34" i="8"/>
  <c r="I34" i="8"/>
  <c r="C34" i="8"/>
  <c r="Q22" i="8"/>
  <c r="J22" i="8"/>
  <c r="C22" i="8"/>
  <c r="E14" i="8"/>
  <c r="E13" i="8"/>
  <c r="E12" i="8"/>
  <c r="E11" i="8"/>
  <c r="E10" i="8"/>
  <c r="E9" i="8"/>
  <c r="E8" i="8"/>
  <c r="M7" i="8"/>
  <c r="L7" i="8"/>
  <c r="E7" i="8"/>
  <c r="M6" i="8"/>
  <c r="L6" i="8"/>
  <c r="E6" i="8"/>
  <c r="M5" i="8"/>
  <c r="L5" i="8"/>
  <c r="F5" i="8"/>
  <c r="E5" i="8"/>
  <c r="E4" i="8"/>
  <c r="B67" i="3"/>
  <c r="A66" i="2"/>
  <c r="G23" i="1"/>
  <c r="C30" i="3"/>
  <c r="J22" i="3"/>
  <c r="L14" i="8" l="1"/>
  <c r="B67" i="8"/>
  <c r="E25" i="8"/>
  <c r="P29" i="8" s="1"/>
  <c r="Q22" i="3"/>
  <c r="G21" i="2"/>
  <c r="G50" i="2"/>
  <c r="F83" i="2"/>
  <c r="N87" i="2" l="1"/>
  <c r="N86" i="2"/>
  <c r="G86" i="2"/>
  <c r="G87" i="2"/>
  <c r="S29" i="8" l="1"/>
  <c r="N21" i="2"/>
  <c r="P30" i="3"/>
  <c r="T72" i="2"/>
  <c r="T69" i="2"/>
  <c r="T66" i="2"/>
  <c r="X72" i="2"/>
  <c r="X69" i="2"/>
  <c r="X66" i="2"/>
  <c r="H100" i="2" l="1"/>
  <c r="Q63" i="3"/>
  <c r="W40" i="2"/>
  <c r="M17" i="2"/>
  <c r="N79" i="2"/>
  <c r="G79" i="2"/>
  <c r="N25" i="2"/>
  <c r="N29" i="2"/>
  <c r="N50" i="2"/>
  <c r="G29" i="2"/>
  <c r="G25" i="2"/>
  <c r="X58" i="2"/>
  <c r="X52" i="2"/>
  <c r="X49" i="2"/>
  <c r="W58" i="2"/>
  <c r="X46" i="2"/>
  <c r="X43" i="2"/>
  <c r="Q60" i="3"/>
  <c r="C57" i="3"/>
  <c r="Q54" i="3"/>
  <c r="C63" i="3"/>
  <c r="A100" i="2"/>
  <c r="C60" i="3"/>
  <c r="J60" i="3"/>
  <c r="J54" i="3"/>
  <c r="C54" i="3"/>
  <c r="H70" i="2"/>
  <c r="H66" i="2"/>
  <c r="A70" i="2"/>
  <c r="Q34" i="3"/>
  <c r="N33" i="2"/>
  <c r="N37" i="2"/>
  <c r="G37" i="2"/>
  <c r="G33" i="2"/>
  <c r="G54" i="2"/>
  <c r="N54" i="2"/>
  <c r="G58" i="2"/>
  <c r="G97" i="2"/>
  <c r="G101" i="2"/>
  <c r="N101" i="2"/>
  <c r="N97" i="2"/>
  <c r="N75" i="2"/>
  <c r="N71" i="2"/>
  <c r="N67" i="2"/>
  <c r="G75" i="2"/>
  <c r="G71" i="2"/>
  <c r="G67" i="2"/>
  <c r="Q30" i="3"/>
  <c r="C22" i="3"/>
  <c r="I30" i="3"/>
  <c r="M7" i="3"/>
  <c r="L7" i="3"/>
  <c r="M5" i="2"/>
  <c r="L5" i="2"/>
  <c r="F5" i="3"/>
  <c r="E5" i="3"/>
  <c r="G3" i="2"/>
  <c r="F3" i="2"/>
  <c r="E14" i="3"/>
  <c r="E13" i="3"/>
  <c r="E12" i="3"/>
  <c r="E11" i="3"/>
  <c r="E10" i="3"/>
  <c r="E9" i="3"/>
  <c r="E8" i="3"/>
  <c r="M6" i="3"/>
  <c r="L6" i="3"/>
  <c r="E7" i="3"/>
  <c r="M5" i="3"/>
  <c r="L5" i="3"/>
  <c r="E6" i="3"/>
  <c r="E4" i="3"/>
  <c r="M37" i="2" l="1"/>
  <c r="M45" i="2"/>
  <c r="F45" i="2"/>
  <c r="I19" i="3" s="1"/>
  <c r="L78" i="2"/>
  <c r="E78" i="2"/>
  <c r="E79" i="2"/>
  <c r="L79" i="2"/>
  <c r="F50" i="2"/>
  <c r="M54" i="2"/>
  <c r="F54" i="2"/>
  <c r="L101" i="2"/>
  <c r="L97" i="2"/>
  <c r="E101" i="2"/>
  <c r="E97" i="2"/>
  <c r="F93" i="2"/>
  <c r="M93" i="2"/>
  <c r="F63" i="2"/>
  <c r="M79" i="2"/>
  <c r="F79" i="2"/>
  <c r="M63" i="2"/>
  <c r="F17" i="2"/>
  <c r="M3" i="2"/>
  <c r="M4" i="2"/>
  <c r="L4" i="2"/>
  <c r="L3" i="2"/>
  <c r="M50" i="2"/>
  <c r="F58" i="2"/>
  <c r="I22" i="3" s="1"/>
  <c r="F41" i="2"/>
  <c r="B19" i="3" s="1"/>
  <c r="M41" i="2"/>
  <c r="M33" i="2"/>
  <c r="F33" i="2"/>
  <c r="M29" i="2"/>
  <c r="M25" i="2"/>
  <c r="M21" i="2"/>
  <c r="F21" i="2"/>
  <c r="F29" i="2"/>
  <c r="F25" i="2"/>
  <c r="F5" i="2"/>
  <c r="F6" i="2"/>
  <c r="F7" i="2"/>
  <c r="F8" i="2"/>
  <c r="F9" i="2"/>
  <c r="F10" i="2"/>
  <c r="F11" i="2"/>
  <c r="F12" i="2"/>
  <c r="F4" i="2"/>
  <c r="F2" i="2"/>
  <c r="G55" i="1"/>
  <c r="G18" i="1" s="1"/>
  <c r="G51" i="1"/>
  <c r="G17" i="1" s="1"/>
  <c r="G43" i="1"/>
  <c r="F75" i="12" s="1"/>
  <c r="G39" i="1"/>
  <c r="G14" i="1" s="1"/>
  <c r="G35" i="1"/>
  <c r="G13" i="1" s="1"/>
  <c r="G31" i="1"/>
  <c r="G12" i="1" s="1"/>
  <c r="G27" i="1"/>
  <c r="G7" i="1"/>
  <c r="B25" i="3"/>
  <c r="P25" i="3"/>
  <c r="P22" i="3" l="1"/>
  <c r="P19" i="11"/>
  <c r="P19" i="8"/>
  <c r="B22" i="3"/>
  <c r="P19" i="13"/>
  <c r="P19" i="3"/>
  <c r="P20" i="13"/>
  <c r="G7" i="12"/>
  <c r="F9" i="13"/>
  <c r="F9" i="11"/>
  <c r="G7" i="10"/>
  <c r="G7" i="9"/>
  <c r="F9" i="8"/>
  <c r="F13" i="13"/>
  <c r="G11" i="12"/>
  <c r="F13" i="11"/>
  <c r="G11" i="10"/>
  <c r="G11" i="9"/>
  <c r="F13" i="8"/>
  <c r="F10" i="13"/>
  <c r="G8" i="12"/>
  <c r="G8" i="10"/>
  <c r="F10" i="11"/>
  <c r="G8" i="9"/>
  <c r="F10" i="8"/>
  <c r="E75" i="12"/>
  <c r="L75" i="12"/>
  <c r="F71" i="12"/>
  <c r="F67" i="12" s="1"/>
  <c r="B67" i="13" s="1"/>
  <c r="M75" i="12"/>
  <c r="M71" i="12" s="1"/>
  <c r="M67" i="12" s="1"/>
  <c r="B68" i="13" s="1"/>
  <c r="E75" i="10"/>
  <c r="L75" i="10"/>
  <c r="F75" i="10"/>
  <c r="M75" i="10"/>
  <c r="L75" i="9"/>
  <c r="E75" i="9"/>
  <c r="F75" i="9"/>
  <c r="M75" i="9"/>
  <c r="F14" i="13"/>
  <c r="G12" i="12"/>
  <c r="G12" i="10"/>
  <c r="F14" i="11"/>
  <c r="G12" i="9"/>
  <c r="F14" i="8"/>
  <c r="G10" i="12"/>
  <c r="F12" i="13"/>
  <c r="F12" i="11"/>
  <c r="G10" i="10"/>
  <c r="G10" i="9"/>
  <c r="F12" i="8"/>
  <c r="F4" i="13"/>
  <c r="G2" i="12"/>
  <c r="G2" i="10"/>
  <c r="F4" i="11"/>
  <c r="G2" i="9"/>
  <c r="F4" i="8"/>
  <c r="F10" i="3"/>
  <c r="F12" i="3"/>
  <c r="I17" i="1"/>
  <c r="I16" i="1"/>
  <c r="F13" i="3"/>
  <c r="F14" i="3"/>
  <c r="G2" i="2"/>
  <c r="F4" i="3"/>
  <c r="B34" i="3"/>
  <c r="B26" i="1"/>
  <c r="G11" i="1"/>
  <c r="B34" i="8" s="1"/>
  <c r="E86" i="2"/>
  <c r="L87" i="2"/>
  <c r="E67" i="2"/>
  <c r="L86" i="2"/>
  <c r="E87" i="2"/>
  <c r="S25" i="3"/>
  <c r="F101" i="2"/>
  <c r="F97" i="2" s="1"/>
  <c r="F75" i="2"/>
  <c r="M75" i="2"/>
  <c r="M101" i="2"/>
  <c r="M97" i="2" s="1"/>
  <c r="E25" i="3"/>
  <c r="G15" i="1"/>
  <c r="E70" i="2"/>
  <c r="E66" i="2"/>
  <c r="E71" i="2"/>
  <c r="F9" i="3"/>
  <c r="G8" i="2"/>
  <c r="G7" i="2"/>
  <c r="G12" i="2"/>
  <c r="G11" i="2"/>
  <c r="G10" i="2"/>
  <c r="L75" i="2"/>
  <c r="L66" i="2"/>
  <c r="L70" i="2"/>
  <c r="L67" i="2"/>
  <c r="L71" i="2"/>
  <c r="E75" i="2"/>
  <c r="B36" i="13" l="1"/>
  <c r="B51" i="8"/>
  <c r="B71" i="13"/>
  <c r="I25" i="3"/>
  <c r="B30" i="3" s="1"/>
  <c r="P38" i="8"/>
  <c r="I38" i="8"/>
  <c r="P49" i="13"/>
  <c r="I49" i="13"/>
  <c r="I48" i="13"/>
  <c r="P48" i="13"/>
  <c r="I80" i="13"/>
  <c r="B84" i="13" s="1"/>
  <c r="B80" i="13"/>
  <c r="F7" i="13"/>
  <c r="G5" i="12"/>
  <c r="F7" i="11"/>
  <c r="G5" i="10"/>
  <c r="G5" i="9"/>
  <c r="F7" i="8"/>
  <c r="B37" i="13"/>
  <c r="B33" i="11"/>
  <c r="B32" i="11"/>
  <c r="I58" i="8"/>
  <c r="B61" i="8" s="1"/>
  <c r="F71" i="9"/>
  <c r="F67" i="9" s="1"/>
  <c r="G9" i="12"/>
  <c r="F11" i="13"/>
  <c r="B66" i="11"/>
  <c r="F11" i="11"/>
  <c r="G9" i="10"/>
  <c r="G9" i="9"/>
  <c r="F11" i="8"/>
  <c r="I79" i="13"/>
  <c r="B83" i="13" s="1"/>
  <c r="M67" i="9"/>
  <c r="M71" i="9"/>
  <c r="I75" i="11"/>
  <c r="B79" i="11" s="1"/>
  <c r="M71" i="10"/>
  <c r="M67" i="10" s="1"/>
  <c r="F8" i="13"/>
  <c r="G6" i="12"/>
  <c r="P20" i="11"/>
  <c r="I45" i="11" s="1"/>
  <c r="I44" i="11"/>
  <c r="G6" i="10"/>
  <c r="F8" i="11"/>
  <c r="G6" i="9"/>
  <c r="F8" i="8"/>
  <c r="I74" i="11"/>
  <c r="B78" i="11" s="1"/>
  <c r="F71" i="10"/>
  <c r="F67" i="10" s="1"/>
  <c r="B37" i="3"/>
  <c r="B63" i="3" s="1"/>
  <c r="P34" i="3"/>
  <c r="G5" i="2"/>
  <c r="F48" i="2" s="1"/>
  <c r="G9" i="2"/>
  <c r="B47" i="3"/>
  <c r="I54" i="3"/>
  <c r="B57" i="3" s="1"/>
  <c r="G10" i="1"/>
  <c r="F7" i="3"/>
  <c r="F11" i="3"/>
  <c r="M67" i="2"/>
  <c r="M71" i="2"/>
  <c r="F71" i="2"/>
  <c r="F67" i="2" s="1"/>
  <c r="F8" i="3"/>
  <c r="G6" i="2"/>
  <c r="B77" i="8"/>
  <c r="B45" i="8"/>
  <c r="I45" i="8"/>
  <c r="L25" i="3" l="1"/>
  <c r="B81" i="8"/>
  <c r="I81" i="8" s="1"/>
  <c r="J13" i="8"/>
  <c r="I37" i="3"/>
  <c r="B48" i="8"/>
  <c r="I48" i="8" s="1"/>
  <c r="B79" i="13"/>
  <c r="I34" i="3"/>
  <c r="B63" i="11"/>
  <c r="B75" i="11" s="1"/>
  <c r="B83" i="11" s="1"/>
  <c r="M48" i="9"/>
  <c r="F48" i="9"/>
  <c r="M119" i="9"/>
  <c r="M110" i="9"/>
  <c r="I88" i="13"/>
  <c r="B88" i="13"/>
  <c r="I87" i="13"/>
  <c r="B62" i="11"/>
  <c r="B74" i="11" s="1"/>
  <c r="B82" i="11" s="1"/>
  <c r="F48" i="10"/>
  <c r="M48" i="10"/>
  <c r="P37" i="11"/>
  <c r="I33" i="11"/>
  <c r="F48" i="12"/>
  <c r="M48" i="12"/>
  <c r="I64" i="8"/>
  <c r="P45" i="11"/>
  <c r="I83" i="11"/>
  <c r="P44" i="11"/>
  <c r="I82" i="11"/>
  <c r="I37" i="13"/>
  <c r="P41" i="13"/>
  <c r="I10" i="1"/>
  <c r="G4" i="12"/>
  <c r="F6" i="13"/>
  <c r="F6" i="11"/>
  <c r="G4" i="10"/>
  <c r="G4" i="9"/>
  <c r="F6" i="8"/>
  <c r="M48" i="2"/>
  <c r="I11" i="1"/>
  <c r="F6" i="3"/>
  <c r="G4" i="2"/>
  <c r="B44" i="3"/>
  <c r="I60" i="3"/>
  <c r="B73" i="3"/>
  <c r="P33" i="11"/>
  <c r="B37" i="11"/>
  <c r="P34" i="11"/>
  <c r="B41" i="13"/>
  <c r="P37" i="13"/>
  <c r="P38" i="13"/>
  <c r="R100" i="13" l="1"/>
  <c r="E54" i="13"/>
  <c r="E52" i="13" s="1"/>
  <c r="E55" i="13"/>
  <c r="E53" i="13" s="1"/>
  <c r="B87" i="13"/>
  <c r="B44" i="13"/>
  <c r="R101" i="13"/>
  <c r="B58" i="8"/>
  <c r="E99" i="11"/>
  <c r="E104" i="13"/>
  <c r="J13" i="3"/>
  <c r="B96" i="13"/>
  <c r="B97" i="13"/>
  <c r="I41" i="13"/>
  <c r="I44" i="13" s="1"/>
  <c r="I37" i="11"/>
  <c r="I40" i="11" s="1"/>
  <c r="B92" i="11"/>
  <c r="E51" i="11"/>
  <c r="E49" i="11" s="1"/>
  <c r="B91" i="11"/>
  <c r="E50" i="11"/>
  <c r="E48" i="11" s="1"/>
  <c r="B38" i="13"/>
  <c r="B40" i="11"/>
  <c r="B34" i="11"/>
  <c r="I44" i="3"/>
  <c r="B54" i="3"/>
  <c r="B99" i="11"/>
  <c r="B100" i="11"/>
  <c r="B104" i="13"/>
  <c r="I64" i="13"/>
  <c r="B105" i="13"/>
  <c r="B63" i="13"/>
  <c r="I63" i="13"/>
  <c r="E68" i="13" l="1"/>
  <c r="B59" i="13" s="1"/>
  <c r="I53" i="13"/>
  <c r="P68" i="13" s="1"/>
  <c r="E67" i="13"/>
  <c r="I52" i="13"/>
  <c r="P44" i="13"/>
  <c r="L13" i="13"/>
  <c r="M13" i="13"/>
  <c r="P48" i="8"/>
  <c r="P58" i="8" s="1"/>
  <c r="P41" i="8"/>
  <c r="P67" i="8" s="1"/>
  <c r="B74" i="8" s="1"/>
  <c r="P40" i="11"/>
  <c r="E63" i="11"/>
  <c r="I49" i="11"/>
  <c r="P63" i="11" s="1"/>
  <c r="B64" i="8"/>
  <c r="E62" i="11"/>
  <c r="I48" i="11"/>
  <c r="P37" i="3"/>
  <c r="P63" i="3" s="1"/>
  <c r="B70" i="3" s="1"/>
  <c r="P44" i="3"/>
  <c r="B60" i="3"/>
  <c r="P64" i="8" l="1"/>
  <c r="I59" i="13"/>
  <c r="K67" i="13"/>
  <c r="I67" i="13"/>
  <c r="P52" i="13" s="1"/>
  <c r="P91" i="13" s="1"/>
  <c r="B100" i="13" s="1"/>
  <c r="I68" i="13"/>
  <c r="P53" i="13" s="1"/>
  <c r="P92" i="13" s="1"/>
  <c r="J11" i="3"/>
  <c r="P88" i="13"/>
  <c r="J11" i="8"/>
  <c r="P75" i="11"/>
  <c r="P83" i="11"/>
  <c r="I62" i="11"/>
  <c r="P48" i="11" s="1"/>
  <c r="P86" i="11" s="1"/>
  <c r="B95" i="11" s="1"/>
  <c r="I63" i="11"/>
  <c r="P49" i="11" s="1"/>
  <c r="P87" i="11" s="1"/>
  <c r="B96" i="11" s="1"/>
  <c r="P54" i="3"/>
  <c r="P60" i="3"/>
  <c r="I55" i="8"/>
  <c r="I77" i="8"/>
  <c r="L55" i="8"/>
  <c r="I74" i="8"/>
  <c r="L51" i="3"/>
  <c r="I51" i="3"/>
  <c r="I71" i="11"/>
  <c r="B80" i="8" l="1"/>
  <c r="I80" i="8" s="1"/>
  <c r="H10" i="8" s="1"/>
  <c r="L11" i="13"/>
  <c r="B109" i="13"/>
  <c r="J109" i="13" s="1"/>
  <c r="B51" i="3"/>
  <c r="P80" i="13"/>
  <c r="J14" i="8"/>
  <c r="J12" i="8"/>
  <c r="P67" i="13"/>
  <c r="P62" i="11"/>
  <c r="I41" i="3"/>
  <c r="B41" i="3"/>
  <c r="J105" i="13"/>
  <c r="I76" i="13"/>
  <c r="B101" i="13" l="1"/>
  <c r="M14" i="13"/>
  <c r="P79" i="13"/>
  <c r="P87" i="13"/>
  <c r="P74" i="11"/>
  <c r="P82" i="11"/>
  <c r="I70" i="3"/>
  <c r="I73" i="3"/>
  <c r="L70" i="11"/>
  <c r="I70" i="11"/>
  <c r="J104" i="13"/>
  <c r="J100" i="13"/>
  <c r="L75" i="13"/>
  <c r="I75" i="13"/>
  <c r="M10" i="3" l="1"/>
  <c r="I58" i="13"/>
  <c r="M11" i="13"/>
  <c r="B76" i="13"/>
  <c r="B70" i="11"/>
  <c r="B71" i="11"/>
  <c r="J12" i="3"/>
  <c r="L12" i="13"/>
  <c r="L14" i="13"/>
  <c r="J14" i="3"/>
  <c r="B59" i="11"/>
  <c r="I59" i="11"/>
  <c r="B58" i="11"/>
  <c r="I58" i="11"/>
  <c r="B64" i="13"/>
  <c r="I76" i="3" l="1"/>
  <c r="H10" i="3" s="1"/>
  <c r="I95" i="11"/>
  <c r="I99" i="11"/>
  <c r="I100" i="11"/>
  <c r="I96" i="11"/>
  <c r="J101" i="13"/>
  <c r="B58" i="13" l="1"/>
  <c r="B108" i="13" s="1"/>
  <c r="J108" i="13" s="1"/>
  <c r="B54" i="11"/>
  <c r="B103" i="11" s="1"/>
  <c r="I103" i="11" s="1"/>
  <c r="I10" i="11" s="1"/>
  <c r="I54" i="11"/>
  <c r="M12" i="13"/>
  <c r="I10" i="13" l="1"/>
  <c r="N10" i="11"/>
  <c r="N10" i="13" l="1"/>
</calcChain>
</file>

<file path=xl/sharedStrings.xml><?xml version="1.0" encoding="utf-8"?>
<sst xmlns="http://schemas.openxmlformats.org/spreadsheetml/2006/main" count="1695" uniqueCount="402">
  <si>
    <t>System number</t>
  </si>
  <si>
    <t>s</t>
  </si>
  <si>
    <t>Select Condensing/ Non-Condensing Scenario</t>
  </si>
  <si>
    <t>Consensing/Non-Condensing Type</t>
  </si>
  <si>
    <t>Condensing</t>
  </si>
  <si>
    <t>Non-Condensing</t>
  </si>
  <si>
    <t>Indoor Combustion Air</t>
  </si>
  <si>
    <t>Outdoor, Direct Vent or isolated Combustion System</t>
  </si>
  <si>
    <t>Direct Exhaust</t>
  </si>
  <si>
    <t>Draft Hood or Draft Diverter</t>
  </si>
  <si>
    <t>Barometric Draft</t>
  </si>
  <si>
    <t>Electrical/Mechanical Stack Damper</t>
  </si>
  <si>
    <t>Atomspheric Burner</t>
  </si>
  <si>
    <t>Power Burner</t>
  </si>
  <si>
    <t>Burner Inlet Damper or Flue Damper</t>
  </si>
  <si>
    <t>Generic</t>
  </si>
  <si>
    <t>User Inputs</t>
  </si>
  <si>
    <t>Characteristics applied to the equipment</t>
  </si>
  <si>
    <t>YES</t>
  </si>
  <si>
    <t>NO</t>
  </si>
  <si>
    <t>(YES or NO)</t>
  </si>
  <si>
    <t>Modulating Type</t>
  </si>
  <si>
    <t>Select Modulating Type</t>
  </si>
  <si>
    <t xml:space="preserve">Selected Unit: </t>
  </si>
  <si>
    <t>Select NG Furnace System Scenario</t>
  </si>
  <si>
    <t>Cool-Down Test: Flue Temperature Measurements</t>
  </si>
  <si>
    <t>Heat-Up Test: Flue Temperature Measurements</t>
  </si>
  <si>
    <r>
      <t>Measured reduced heat input rate (Q</t>
    </r>
    <r>
      <rPr>
        <vertAlign val="subscript"/>
        <sz val="10"/>
        <color rgb="FFFF0000"/>
        <rFont val="Calibri"/>
        <family val="2"/>
        <scheme val="minor"/>
      </rPr>
      <t>IN,R</t>
    </r>
    <r>
      <rPr>
        <sz val="10"/>
        <color rgb="FFFF0000"/>
        <rFont val="Calibri"/>
        <family val="2"/>
        <scheme val="minor"/>
      </rPr>
      <t>)</t>
    </r>
  </si>
  <si>
    <t>TF,OFF[t3]</t>
  </si>
  <si>
    <t>t3</t>
  </si>
  <si>
    <t>tp</t>
  </si>
  <si>
    <t>t4</t>
  </si>
  <si>
    <t>TF,OFF[t4]</t>
  </si>
  <si>
    <t>TF,OFF[t5]</t>
  </si>
  <si>
    <t>Measured  maximum heat input rate (QIN)</t>
  </si>
  <si>
    <t>Non-Modulating</t>
  </si>
  <si>
    <t>Step-Modulating</t>
  </si>
  <si>
    <t>2Stage-Modulating</t>
  </si>
  <si>
    <t>Electric power to the burner (PE)@reduced heat mode</t>
  </si>
  <si>
    <t>Measured Maximum NG gas input rate</t>
  </si>
  <si>
    <t>Measured NG gas input rate@reduced heating mode</t>
  </si>
  <si>
    <t>Electric power to the burner (PE)@maximum heating mode</t>
  </si>
  <si>
    <r>
      <t>Flue gas temperature (T</t>
    </r>
    <r>
      <rPr>
        <b/>
        <vertAlign val="subscript"/>
        <sz val="10"/>
        <color theme="1"/>
        <rFont val="Calibri"/>
        <family val="2"/>
        <scheme val="minor"/>
      </rPr>
      <t>F,SS</t>
    </r>
    <r>
      <rPr>
        <b/>
        <sz val="10"/>
        <color theme="1"/>
        <rFont val="Calibri"/>
        <family val="2"/>
        <scheme val="minor"/>
      </rPr>
      <t>)@maximum heating mode</t>
    </r>
  </si>
  <si>
    <r>
      <t>Flue gas temperature (T</t>
    </r>
    <r>
      <rPr>
        <vertAlign val="subscript"/>
        <sz val="10"/>
        <color rgb="FFFF0000"/>
        <rFont val="Calibri"/>
        <family val="2"/>
        <scheme val="minor"/>
      </rPr>
      <t>F,SS</t>
    </r>
    <r>
      <rPr>
        <sz val="10"/>
        <color rgb="FFFF0000"/>
        <rFont val="Calibri"/>
        <family val="2"/>
        <scheme val="minor"/>
      </rPr>
      <t>)@reduced heating mode</t>
    </r>
  </si>
  <si>
    <r>
      <t>Dry concentration CO2 (XCO</t>
    </r>
    <r>
      <rPr>
        <vertAlign val="subscript"/>
        <sz val="10"/>
        <color rgb="FFFF0000"/>
        <rFont val="Calibri"/>
        <family val="2"/>
        <scheme val="minor"/>
      </rPr>
      <t>2,F</t>
    </r>
    <r>
      <rPr>
        <sz val="10"/>
        <color rgb="FFFF0000"/>
        <rFont val="Calibri"/>
        <family val="2"/>
        <scheme val="minor"/>
      </rPr>
      <t>)@reduced heating mode</t>
    </r>
  </si>
  <si>
    <t>Measured condensate@maximum heating mode</t>
  </si>
  <si>
    <t>Measured condensate@redcued heating mode</t>
  </si>
  <si>
    <t>Steady-State Test Data Input</t>
  </si>
  <si>
    <r>
      <t>Dry concentration CO2 (XCO</t>
    </r>
    <r>
      <rPr>
        <b/>
        <vertAlign val="subscript"/>
        <sz val="10"/>
        <color theme="1"/>
        <rFont val="Calibri"/>
        <family val="2"/>
        <scheme val="minor"/>
      </rPr>
      <t>2,F</t>
    </r>
    <r>
      <rPr>
        <b/>
        <sz val="10"/>
        <color theme="1"/>
        <rFont val="Calibri"/>
        <family val="2"/>
        <scheme val="minor"/>
      </rPr>
      <t>)@maximum heating mode</t>
    </r>
  </si>
  <si>
    <r>
      <t>Room ambient temperature (T</t>
    </r>
    <r>
      <rPr>
        <b/>
        <vertAlign val="subscript"/>
        <sz val="10"/>
        <color theme="1"/>
        <rFont val="Calibri"/>
        <family val="2"/>
        <scheme val="minor"/>
      </rPr>
      <t>RA</t>
    </r>
    <r>
      <rPr>
        <b/>
        <sz val="10"/>
        <color theme="1"/>
        <rFont val="Calibri"/>
        <family val="2"/>
        <scheme val="minor"/>
      </rPr>
      <t>)</t>
    </r>
  </si>
  <si>
    <t>Steady-State Test Data Input@reduced heating mode</t>
  </si>
  <si>
    <t>Steady-State Test Data Input@maximum heating mode</t>
  </si>
  <si>
    <t>YES/NO</t>
  </si>
  <si>
    <t>Post Purge</t>
  </si>
  <si>
    <t>Other Select Input</t>
  </si>
  <si>
    <t>Other Slection Inputs</t>
  </si>
  <si>
    <t>Cool-Down Test@redcued heating mode</t>
  </si>
  <si>
    <t>Energy input rate to the pilot light (Qp)</t>
  </si>
  <si>
    <t>Heat-Up Test@reduced heating mode</t>
  </si>
  <si>
    <t>Cool-Down Test@maximum heating mode</t>
  </si>
  <si>
    <t>Heat-Up Test@maximum heating mode</t>
  </si>
  <si>
    <t>TF,ON[t1]</t>
  </si>
  <si>
    <t>TF,ON[t2]</t>
  </si>
  <si>
    <t>Jacket Surface temperature (Ts)</t>
  </si>
  <si>
    <r>
      <t>Dry concentration CO2 (XCO</t>
    </r>
    <r>
      <rPr>
        <b/>
        <vertAlign val="subscript"/>
        <sz val="10"/>
        <color theme="1"/>
        <rFont val="Calibri"/>
        <family val="2"/>
        <scheme val="minor"/>
      </rPr>
      <t>2,S</t>
    </r>
    <r>
      <rPr>
        <b/>
        <sz val="10"/>
        <color theme="1"/>
        <rFont val="Calibri"/>
        <family val="2"/>
        <scheme val="minor"/>
      </rPr>
      <t>)@maximum heating mode</t>
    </r>
  </si>
  <si>
    <r>
      <t>Dry concentration CO2 (XCO</t>
    </r>
    <r>
      <rPr>
        <vertAlign val="subscript"/>
        <sz val="10"/>
        <color rgb="FFFF0000"/>
        <rFont val="Calibri"/>
        <family val="2"/>
        <scheme val="minor"/>
      </rPr>
      <t>2,S</t>
    </r>
    <r>
      <rPr>
        <sz val="10"/>
        <color rgb="FFFF0000"/>
        <rFont val="Calibri"/>
        <family val="2"/>
        <scheme val="minor"/>
      </rPr>
      <t>)@reduced heating mode</t>
    </r>
  </si>
  <si>
    <t>Unit</t>
  </si>
  <si>
    <t>SI-Unit</t>
  </si>
  <si>
    <t>British-Unit</t>
  </si>
  <si>
    <t>Ratio of Combustion Air to Stoichiometric Air</t>
  </si>
  <si>
    <t>Fuel Characteristics and parameters for Calculating steady-state sensible heat loss</t>
  </si>
  <si>
    <t>HHVA(BTU/LB)</t>
  </si>
  <si>
    <t>Natural gas</t>
  </si>
  <si>
    <t>A/F</t>
  </si>
  <si>
    <t>LL,A</t>
  </si>
  <si>
    <t>A</t>
  </si>
  <si>
    <t>B</t>
  </si>
  <si>
    <t>CF(1)</t>
  </si>
  <si>
    <t>CF(2)</t>
  </si>
  <si>
    <t>CF(3)</t>
  </si>
  <si>
    <t>CF(4)</t>
  </si>
  <si>
    <t>CF(5)</t>
  </si>
  <si>
    <t>K6-BRITISH-UNIT</t>
  </si>
  <si>
    <t>K6-SI-UNIT</t>
  </si>
  <si>
    <t>K7-BRITISH-UNIT</t>
  </si>
  <si>
    <t>K7-SI-UNIT</t>
  </si>
  <si>
    <t>Tabs</t>
  </si>
  <si>
    <t>Air</t>
  </si>
  <si>
    <t>CA(1)</t>
  </si>
  <si>
    <t>CA(2)</t>
  </si>
  <si>
    <t>CA(3)</t>
  </si>
  <si>
    <t>CA(4)</t>
  </si>
  <si>
    <t>CA(5)</t>
  </si>
  <si>
    <t>%</t>
  </si>
  <si>
    <t xml:space="preserve">Ratio of Combustion and Relief Air to Stoichiometric Air </t>
  </si>
  <si>
    <t>Average Ratio of Stack Gas Mass Flow Rate to Flue Gas Mass Flow Rate</t>
  </si>
  <si>
    <t>S/F</t>
  </si>
  <si>
    <t>Average Sensible Heat Loss at Steady-State Operation</t>
  </si>
  <si>
    <t>Steady-State Efficiency</t>
  </si>
  <si>
    <t>Heat Capacity and Part-Load Constants</t>
  </si>
  <si>
    <t>Maximum Fuel Input Rate Heating Capacity</t>
  </si>
  <si>
    <t>Jacket Loss in percent</t>
  </si>
  <si>
    <t>Lj</t>
  </si>
  <si>
    <t>α</t>
  </si>
  <si>
    <t>National average oversize Factor</t>
  </si>
  <si>
    <t>National average Outdoor Temperature</t>
  </si>
  <si>
    <t>(-)</t>
  </si>
  <si>
    <t>CP</t>
  </si>
  <si>
    <t>Tabs-BRITISH-UNIT®</t>
  </si>
  <si>
    <t>Tabs-SI-UNIT(K)</t>
  </si>
  <si>
    <t>Cp-BRITISH-UNIT(BTU/LB-F)</t>
  </si>
  <si>
    <t>Cp-SI-UNIT(KJ/KG-K)</t>
  </si>
  <si>
    <t>specific heat of air</t>
  </si>
  <si>
    <t>Multiplication Factor for Sensible Heat Loss During Burner ON-Cycle</t>
  </si>
  <si>
    <t>Multiplication Factor for Infiltration Loss during Burner ON-Cycle</t>
  </si>
  <si>
    <t>Equivalent Field Stack Gas Temperature at Full-Load Steady-State Operation</t>
  </si>
  <si>
    <t>ON-Cycle Time Constant</t>
  </si>
  <si>
    <t>min</t>
  </si>
  <si>
    <t>OFF-Cycle Time Constant</t>
  </si>
  <si>
    <t>t5</t>
  </si>
  <si>
    <t>t1</t>
  </si>
  <si>
    <t>t2</t>
  </si>
  <si>
    <t>OFF-cycle stack gas draft factor, without stack damper</t>
  </si>
  <si>
    <r>
      <t>D</t>
    </r>
    <r>
      <rPr>
        <vertAlign val="superscript"/>
        <sz val="9"/>
        <color theme="1"/>
        <rFont val="Calibri"/>
        <family val="2"/>
        <scheme val="minor"/>
      </rPr>
      <t>o</t>
    </r>
    <r>
      <rPr>
        <sz val="9"/>
        <color theme="1"/>
        <rFont val="Calibri"/>
        <family val="2"/>
        <scheme val="minor"/>
      </rPr>
      <t>S</t>
    </r>
  </si>
  <si>
    <t>Ratio of Average Burner ON-Time per Cycle to ON-Cycle Time Constant</t>
  </si>
  <si>
    <t>Ratio of Average Burner OFF-Time per
Cycle to OFF-Cycle Time Constant</t>
  </si>
  <si>
    <r>
      <t>R</t>
    </r>
    <r>
      <rPr>
        <vertAlign val="subscript"/>
        <sz val="9"/>
        <color theme="1"/>
        <rFont val="Calibri"/>
        <family val="2"/>
        <scheme val="minor"/>
      </rPr>
      <t>ON</t>
    </r>
  </si>
  <si>
    <t>Start-Up Burner Cycling Effect Correction
Factor</t>
  </si>
  <si>
    <t>Shutdown Burner Cycling Effect Correction
Factor</t>
  </si>
  <si>
    <t>OFF-Cycle Stack Gas Draft Factor</t>
  </si>
  <si>
    <r>
      <t>D</t>
    </r>
    <r>
      <rPr>
        <vertAlign val="subscript"/>
        <sz val="9"/>
        <color theme="1"/>
        <rFont val="Calibri"/>
        <family val="2"/>
        <scheme val="minor"/>
      </rPr>
      <t>S</t>
    </r>
  </si>
  <si>
    <t>cross-sectional area of the stack</t>
  </si>
  <si>
    <t>As</t>
  </si>
  <si>
    <t>net area of the damper plate</t>
  </si>
  <si>
    <r>
      <t>A</t>
    </r>
    <r>
      <rPr>
        <vertAlign val="subscript"/>
        <sz val="11"/>
        <color theme="1"/>
        <rFont val="Calibri"/>
        <family val="2"/>
        <scheme val="minor"/>
      </rPr>
      <t>D</t>
    </r>
  </si>
  <si>
    <t>minimum opening (including leakage) area of the
damper when closed</t>
  </si>
  <si>
    <t>holes and cutouts in damper plate</t>
  </si>
  <si>
    <r>
      <t>A</t>
    </r>
    <r>
      <rPr>
        <vertAlign val="subscript"/>
        <sz val="11"/>
        <color theme="1"/>
        <rFont val="Calibri"/>
        <family val="2"/>
        <scheme val="minor"/>
      </rPr>
      <t>O,D</t>
    </r>
  </si>
  <si>
    <t>leakage area around damper shaft and edges</t>
  </si>
  <si>
    <t>the angle the damper makes when closed, perpendicular to the axis of the stack</t>
  </si>
  <si>
    <t>W</t>
  </si>
  <si>
    <r>
      <t>A</t>
    </r>
    <r>
      <rPr>
        <vertAlign val="subscript"/>
        <sz val="11"/>
        <color theme="1"/>
        <rFont val="Calibri"/>
        <family val="2"/>
        <scheme val="minor"/>
      </rPr>
      <t>O</t>
    </r>
  </si>
  <si>
    <r>
      <t>A</t>
    </r>
    <r>
      <rPr>
        <vertAlign val="subscript"/>
        <sz val="11"/>
        <color theme="1"/>
        <rFont val="Calibri"/>
        <family val="2"/>
        <scheme val="minor"/>
      </rPr>
      <t>O,L</t>
    </r>
  </si>
  <si>
    <t>Degree</t>
  </si>
  <si>
    <t>Do</t>
  </si>
  <si>
    <t>Furance Stack/Damper</t>
  </si>
  <si>
    <t xml:space="preserve">Summary results: </t>
  </si>
  <si>
    <r>
      <t>L</t>
    </r>
    <r>
      <rPr>
        <vertAlign val="subscript"/>
        <sz val="9"/>
        <color theme="1"/>
        <rFont val="Calibri"/>
        <family val="2"/>
        <scheme val="minor"/>
      </rPr>
      <t>S,SS</t>
    </r>
  </si>
  <si>
    <r>
      <t>R</t>
    </r>
    <r>
      <rPr>
        <vertAlign val="subscript"/>
        <sz val="9"/>
        <color theme="1"/>
        <rFont val="Calibri"/>
        <family val="2"/>
        <scheme val="minor"/>
      </rPr>
      <t>T,F</t>
    </r>
  </si>
  <si>
    <r>
      <t>R</t>
    </r>
    <r>
      <rPr>
        <vertAlign val="subscript"/>
        <sz val="9"/>
        <color theme="1"/>
        <rFont val="Calibri"/>
        <family val="2"/>
        <scheme val="minor"/>
      </rPr>
      <t>T,S</t>
    </r>
  </si>
  <si>
    <r>
      <rPr>
        <sz val="9"/>
        <color theme="1"/>
        <rFont val="Calibri"/>
        <family val="2"/>
      </rPr>
      <t>∆</t>
    </r>
    <r>
      <rPr>
        <sz val="9"/>
        <color theme="1"/>
        <rFont val="Calibri"/>
        <family val="2"/>
        <scheme val="minor"/>
      </rPr>
      <t>T</t>
    </r>
    <r>
      <rPr>
        <vertAlign val="subscript"/>
        <sz val="9"/>
        <color theme="1"/>
        <rFont val="Calibri"/>
        <family val="2"/>
        <scheme val="minor"/>
      </rPr>
      <t>S,SS</t>
    </r>
  </si>
  <si>
    <r>
      <t>Q</t>
    </r>
    <r>
      <rPr>
        <vertAlign val="subscript"/>
        <sz val="9"/>
        <color theme="1"/>
        <rFont val="Calibri"/>
        <family val="2"/>
        <scheme val="minor"/>
      </rPr>
      <t>OUT</t>
    </r>
  </si>
  <si>
    <r>
      <t>T</t>
    </r>
    <r>
      <rPr>
        <vertAlign val="subscript"/>
        <sz val="9"/>
        <color theme="1"/>
        <rFont val="Calibri"/>
        <family val="2"/>
      </rPr>
      <t>OA</t>
    </r>
  </si>
  <si>
    <r>
      <t>K</t>
    </r>
    <r>
      <rPr>
        <vertAlign val="subscript"/>
        <sz val="9"/>
        <color theme="1"/>
        <rFont val="Calibri"/>
        <family val="2"/>
        <scheme val="minor"/>
      </rPr>
      <t>S, ON</t>
    </r>
  </si>
  <si>
    <r>
      <t>K</t>
    </r>
    <r>
      <rPr>
        <vertAlign val="subscript"/>
        <sz val="9"/>
        <color theme="1"/>
        <rFont val="Calibri"/>
        <family val="2"/>
        <scheme val="minor"/>
      </rPr>
      <t>I, ON</t>
    </r>
  </si>
  <si>
    <r>
      <t>T</t>
    </r>
    <r>
      <rPr>
        <vertAlign val="subscript"/>
        <sz val="9"/>
        <color theme="1"/>
        <rFont val="Calibri"/>
        <family val="2"/>
        <scheme val="minor"/>
      </rPr>
      <t>S,SS</t>
    </r>
  </si>
  <si>
    <r>
      <rPr>
        <sz val="9"/>
        <color theme="1"/>
        <rFont val="Symbol"/>
        <family val="1"/>
        <charset val="2"/>
      </rPr>
      <t>t</t>
    </r>
    <r>
      <rPr>
        <vertAlign val="subscript"/>
        <sz val="9"/>
        <color theme="1"/>
        <rFont val="Calibri"/>
        <family val="2"/>
        <scheme val="minor"/>
      </rPr>
      <t>ON</t>
    </r>
  </si>
  <si>
    <r>
      <rPr>
        <sz val="9"/>
        <color theme="1"/>
        <rFont val="Symbol"/>
        <family val="1"/>
        <charset val="2"/>
      </rPr>
      <t>t</t>
    </r>
    <r>
      <rPr>
        <vertAlign val="subscript"/>
        <sz val="9"/>
        <color theme="1"/>
        <rFont val="Calibri"/>
        <family val="2"/>
        <scheme val="minor"/>
      </rPr>
      <t>Off</t>
    </r>
  </si>
  <si>
    <r>
      <t>D</t>
    </r>
    <r>
      <rPr>
        <vertAlign val="subscript"/>
        <sz val="9"/>
        <color theme="1"/>
        <rFont val="Calibri"/>
        <family val="2"/>
        <scheme val="minor"/>
      </rPr>
      <t>F</t>
    </r>
  </si>
  <si>
    <r>
      <rPr>
        <sz val="9"/>
        <color theme="1"/>
        <rFont val="Wingdings 3"/>
        <family val="1"/>
        <charset val="2"/>
      </rPr>
      <t>È</t>
    </r>
    <r>
      <rPr>
        <sz val="9"/>
        <color theme="1"/>
        <rFont val="Calibri"/>
        <family val="2"/>
        <scheme val="minor"/>
      </rPr>
      <t>measureable flow after a burner is off (YES/NO)?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</si>
  <si>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F,O,X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</si>
  <si>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F,</t>
    </r>
    <r>
      <rPr>
        <vertAlign val="subscript"/>
        <sz val="9"/>
        <color theme="1"/>
        <rFont val="Symbol"/>
        <family val="1"/>
        <charset val="2"/>
      </rPr>
      <t>µ</t>
    </r>
    <r>
      <rPr>
        <vertAlign val="subscript"/>
        <sz val="9"/>
        <color theme="1"/>
        <rFont val="Calibri"/>
        <family val="2"/>
        <scheme val="minor"/>
      </rPr>
      <t>,X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</si>
  <si>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S,</t>
    </r>
    <r>
      <rPr>
        <vertAlign val="subscript"/>
        <sz val="9"/>
        <color theme="1"/>
        <rFont val="Symbol"/>
        <family val="1"/>
        <charset val="2"/>
      </rPr>
      <t>µ</t>
    </r>
    <r>
      <rPr>
        <vertAlign val="subscript"/>
        <sz val="9"/>
        <color theme="1"/>
        <rFont val="Calibri"/>
        <family val="2"/>
        <scheme val="minor"/>
      </rPr>
      <t>,X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</si>
  <si>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S,O,X</t>
    </r>
  </si>
  <si>
    <r>
      <t>R</t>
    </r>
    <r>
      <rPr>
        <vertAlign val="subscript"/>
        <sz val="9"/>
        <color theme="1"/>
        <rFont val="Calibri"/>
        <family val="2"/>
        <scheme val="minor"/>
      </rPr>
      <t>OFF</t>
    </r>
  </si>
  <si>
    <r>
      <rPr>
        <sz val="9"/>
        <color theme="1"/>
        <rFont val="Symbol"/>
        <family val="1"/>
        <charset val="2"/>
      </rPr>
      <t>q</t>
    </r>
    <r>
      <rPr>
        <vertAlign val="subscript"/>
        <sz val="9"/>
        <color theme="1"/>
        <rFont val="Calibri"/>
        <family val="2"/>
        <scheme val="minor"/>
      </rPr>
      <t>F,O,X</t>
    </r>
  </si>
  <si>
    <r>
      <t>C</t>
    </r>
    <r>
      <rPr>
        <vertAlign val="subscript"/>
        <sz val="9"/>
        <color theme="1"/>
        <rFont val="Calibri"/>
        <family val="2"/>
        <scheme val="minor"/>
      </rPr>
      <t>T,ON</t>
    </r>
  </si>
  <si>
    <r>
      <t>C</t>
    </r>
    <r>
      <rPr>
        <vertAlign val="subscript"/>
        <sz val="9"/>
        <color theme="1"/>
        <rFont val="Calibri"/>
        <family val="2"/>
        <scheme val="minor"/>
      </rPr>
      <t>T,OFF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</si>
  <si>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F,O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</si>
  <si>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F,</t>
    </r>
    <r>
      <rPr>
        <vertAlign val="subscript"/>
        <sz val="9"/>
        <color theme="1"/>
        <rFont val="Symbol"/>
        <family val="1"/>
        <charset val="2"/>
      </rPr>
      <t>µ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</si>
  <si>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S,</t>
    </r>
    <r>
      <rPr>
        <vertAlign val="subscript"/>
        <sz val="9"/>
        <color theme="1"/>
        <rFont val="Symbol"/>
        <family val="1"/>
        <charset val="2"/>
      </rPr>
      <t>O</t>
    </r>
  </si>
  <si>
    <t>correction factor that corrects for the use of outdoor air for combustion</t>
  </si>
  <si>
    <t>Cs</t>
  </si>
  <si>
    <r>
      <rPr>
        <sz val="9"/>
        <color theme="1"/>
        <rFont val="Symbol"/>
        <family val="1"/>
        <charset val="2"/>
      </rPr>
      <t>q</t>
    </r>
    <r>
      <rPr>
        <vertAlign val="subscript"/>
        <sz val="9"/>
        <color theme="1"/>
        <rFont val="Calibri"/>
        <family val="2"/>
        <scheme val="minor"/>
      </rPr>
      <t>F,O</t>
    </r>
  </si>
  <si>
    <t>Multiplication Factor for Infiltration Loss
during Burner OFF-Cycle</t>
  </si>
  <si>
    <r>
      <t>K</t>
    </r>
    <r>
      <rPr>
        <vertAlign val="subscript"/>
        <sz val="9"/>
        <color theme="1"/>
        <rFont val="Calibri"/>
        <family val="2"/>
        <scheme val="minor"/>
      </rPr>
      <t>S,OFF</t>
    </r>
  </si>
  <si>
    <t>Method of Testing for
Annual Fuel Utilization Efficiency
of Residential Central Furnaces
and Boilers</t>
  </si>
  <si>
    <t>Contact: Zhiming Gao</t>
  </si>
  <si>
    <t>Email: gaoz@ornl.gov</t>
  </si>
  <si>
    <t>Furance Stack/Damper parameter(fit system 5, 6, 8 or a unit with Stack/Damper )</t>
  </si>
  <si>
    <t>Upward surface Temperature</t>
  </si>
  <si>
    <t>Upward surface group area</t>
  </si>
  <si>
    <t>Jacket Surface Energy Loss Analysis input</t>
  </si>
  <si>
    <t>Jacket Surface Energy Loss input for upward, vertical and downward surfaces</t>
  </si>
  <si>
    <t>Surface material</t>
  </si>
  <si>
    <t>GSIBight</t>
  </si>
  <si>
    <t>GSIOxidized</t>
  </si>
  <si>
    <t>ASBESTOSPaper</t>
  </si>
  <si>
    <t>MISCPaint</t>
  </si>
  <si>
    <r>
      <t>È</t>
    </r>
    <r>
      <rPr>
        <sz val="11"/>
        <color theme="1"/>
        <rFont val="Calibri"/>
        <family val="2"/>
        <scheme val="minor"/>
      </rPr>
      <t>select surface material</t>
    </r>
  </si>
  <si>
    <t>ts</t>
  </si>
  <si>
    <t>te</t>
  </si>
  <si>
    <t>the strat time of damper closing</t>
  </si>
  <si>
    <t>the end time  of damper closing</t>
  </si>
  <si>
    <t>Multiplication Factor for Infiltration Loss during Burner OFF-Cycle.</t>
  </si>
  <si>
    <t>Doi</t>
  </si>
  <si>
    <t>KI,OFF</t>
  </si>
  <si>
    <t>ON-Cycle Sensible Heat Loss.</t>
  </si>
  <si>
    <t>OFF-Cycle Sensible Heat Loss</t>
  </si>
  <si>
    <t>TF,OFF[tp/2,tp]</t>
  </si>
  <si>
    <t>Mass rate udring burner ON-Period</t>
  </si>
  <si>
    <t>ON-Cycle Infiltration Heat Loss.</t>
  </si>
  <si>
    <t>OFF-Cycle Infiltration Heat Loss.</t>
  </si>
  <si>
    <t>Heating seasoning efficiency</t>
  </si>
  <si>
    <r>
      <t>EFF</t>
    </r>
    <r>
      <rPr>
        <vertAlign val="subscript"/>
        <sz val="9"/>
        <color theme="1"/>
        <rFont val="Calibri"/>
        <family val="2"/>
        <scheme val="minor"/>
      </rPr>
      <t>yHS</t>
    </r>
  </si>
  <si>
    <t>Annual Fuel Utilization Efficiency</t>
  </si>
  <si>
    <t>AFUE</t>
  </si>
  <si>
    <r>
      <t>M</t>
    </r>
    <r>
      <rPr>
        <vertAlign val="subscript"/>
        <sz val="9"/>
        <color theme="1"/>
        <rFont val="Calibri"/>
        <family val="2"/>
        <scheme val="minor"/>
      </rPr>
      <t>F,ON</t>
    </r>
  </si>
  <si>
    <t>Steady-State Stack Temperature Rise</t>
  </si>
  <si>
    <t>Steady-State Flue Temperature Rise</t>
  </si>
  <si>
    <r>
      <rPr>
        <sz val="9"/>
        <color theme="1"/>
        <rFont val="Calibri"/>
        <family val="2"/>
      </rPr>
      <t>∆</t>
    </r>
    <r>
      <rPr>
        <sz val="9"/>
        <color theme="1"/>
        <rFont val="Calibri"/>
        <family val="2"/>
        <scheme val="minor"/>
      </rPr>
      <t>T</t>
    </r>
    <r>
      <rPr>
        <vertAlign val="subscript"/>
        <sz val="9"/>
        <color theme="1"/>
        <rFont val="Calibri"/>
        <family val="2"/>
        <scheme val="minor"/>
      </rPr>
      <t>F,SS</t>
    </r>
  </si>
  <si>
    <r>
      <t>EFF</t>
    </r>
    <r>
      <rPr>
        <vertAlign val="subscript"/>
        <sz val="9"/>
        <color theme="1"/>
        <rFont val="Calibri"/>
        <family val="2"/>
        <scheme val="minor"/>
      </rPr>
      <t>ySS</t>
    </r>
  </si>
  <si>
    <t>Outdoor</t>
  </si>
  <si>
    <t>System Location</t>
  </si>
  <si>
    <t>Isolated Combustion System</t>
  </si>
  <si>
    <r>
      <rPr>
        <sz val="9"/>
        <color theme="1"/>
        <rFont val="Wingdings 3"/>
        <family val="1"/>
        <charset val="2"/>
      </rPr>
      <t>È</t>
    </r>
    <r>
      <rPr>
        <sz val="9"/>
        <color theme="1"/>
        <rFont val="Calibri"/>
        <family val="2"/>
        <scheme val="minor"/>
      </rPr>
      <t>(Outdoor, Isolated for "YES")?</t>
    </r>
  </si>
  <si>
    <t>Stead-state Testing Constants</t>
  </si>
  <si>
    <t>Calculate Part-Load Seasonal Efficiency: Heat-Up Test Cycle</t>
  </si>
  <si>
    <t>Calculate Part-Load Seasonal Efficiency: Cool-Down Test Cycle</t>
  </si>
  <si>
    <t>OFF-Cycle Flue Gas Draft Factor</t>
  </si>
  <si>
    <r>
      <t xml:space="preserve">Effective Stack Gas </t>
    </r>
    <r>
      <rPr>
        <sz val="9"/>
        <color theme="1"/>
        <rFont val="Symbol"/>
        <family val="1"/>
        <charset val="2"/>
      </rPr>
      <t>D</t>
    </r>
    <r>
      <rPr>
        <sz val="9.6999999999999993"/>
        <color theme="1"/>
        <rFont val="Calibri"/>
        <family val="2"/>
      </rPr>
      <t>T</t>
    </r>
    <r>
      <rPr>
        <sz val="9"/>
        <color theme="1"/>
        <rFont val="Calibri"/>
        <family val="2"/>
        <scheme val="minor"/>
      </rPr>
      <t xml:space="preserve"> at Shutdown (t3)</t>
    </r>
  </si>
  <si>
    <r>
      <t xml:space="preserve">Minimum Flue Gas </t>
    </r>
    <r>
      <rPr>
        <sz val="9"/>
        <color theme="1"/>
        <rFont val="Symbol"/>
        <family val="1"/>
        <charset val="2"/>
      </rPr>
      <t>D</t>
    </r>
    <r>
      <rPr>
        <sz val="9"/>
        <color theme="1"/>
        <rFont val="Calibri"/>
        <family val="2"/>
        <scheme val="minor"/>
      </rPr>
      <t>T above Room Temperature After Burner shutdown (t3)</t>
    </r>
  </si>
  <si>
    <r>
      <t xml:space="preserve">Minimum Flue Gas  </t>
    </r>
    <r>
      <rPr>
        <sz val="9"/>
        <color theme="1"/>
        <rFont val="Symbol"/>
        <family val="1"/>
        <charset val="2"/>
      </rPr>
      <t>D</t>
    </r>
    <r>
      <rPr>
        <sz val="9"/>
        <color theme="1"/>
        <rFont val="Calibri"/>
        <family val="2"/>
        <scheme val="minor"/>
      </rPr>
      <t>T above Room Temperature (t5)</t>
    </r>
  </si>
  <si>
    <r>
      <t xml:space="preserve">Minimum Stack Gas </t>
    </r>
    <r>
      <rPr>
        <sz val="9"/>
        <color theme="1"/>
        <rFont val="Symbol"/>
        <family val="1"/>
        <charset val="2"/>
      </rPr>
      <t>D</t>
    </r>
    <r>
      <rPr>
        <sz val="9"/>
        <color theme="1"/>
        <rFont val="Calibri"/>
        <family val="2"/>
        <scheme val="minor"/>
      </rPr>
      <t>T above Room Temperature at (t5)</t>
    </r>
  </si>
  <si>
    <r>
      <t xml:space="preserve">Effective Minimum Flue </t>
    </r>
    <r>
      <rPr>
        <sz val="9"/>
        <color theme="1"/>
        <rFont val="Symbol"/>
        <family val="1"/>
        <charset val="2"/>
      </rPr>
      <t>D</t>
    </r>
    <r>
      <rPr>
        <sz val="9.6999999999999993"/>
        <color theme="1"/>
        <rFont val="Calibri"/>
        <family val="2"/>
      </rPr>
      <t xml:space="preserve">T </t>
    </r>
    <r>
      <rPr>
        <sz val="9"/>
        <color theme="1"/>
        <rFont val="Calibri"/>
        <family val="2"/>
        <scheme val="minor"/>
      </rPr>
      <t>above Room Temperature, Corrected for Burner Cycling Effect</t>
    </r>
  </si>
  <si>
    <r>
      <t xml:space="preserve">Effective Flue Gas </t>
    </r>
    <r>
      <rPr>
        <sz val="9"/>
        <color theme="1"/>
        <rFont val="Symbol"/>
        <family val="1"/>
        <charset val="2"/>
      </rPr>
      <t>DT</t>
    </r>
    <r>
      <rPr>
        <sz val="9"/>
        <color theme="1"/>
        <rFont val="Calibri"/>
        <family val="2"/>
        <scheme val="minor"/>
      </rPr>
      <t xml:space="preserve">
at Burner Shutdown, Corrected for Burner Cycling
Effect</t>
    </r>
  </si>
  <si>
    <r>
      <t xml:space="preserve">Effective Stack Gas </t>
    </r>
    <r>
      <rPr>
        <sz val="9"/>
        <color theme="1"/>
        <rFont val="Symbol"/>
        <family val="1"/>
        <charset val="2"/>
      </rPr>
      <t>D</t>
    </r>
    <r>
      <rPr>
        <sz val="9.6999999999999993"/>
        <color theme="1"/>
        <rFont val="Calibri"/>
        <family val="2"/>
      </rPr>
      <t>T</t>
    </r>
    <r>
      <rPr>
        <sz val="9"/>
        <color theme="1"/>
        <rFont val="Calibri"/>
        <family val="2"/>
        <scheme val="minor"/>
      </rPr>
      <t xml:space="preserve"> at Burner Shutdown, Corrected for Burner Cycling Effect</t>
    </r>
  </si>
  <si>
    <r>
      <t xml:space="preserve">Effective Flue Gas </t>
    </r>
    <r>
      <rPr>
        <sz val="9"/>
        <color theme="1"/>
        <rFont val="Symbol"/>
        <family val="1"/>
        <charset val="2"/>
      </rPr>
      <t>DT</t>
    </r>
    <r>
      <rPr>
        <sz val="9"/>
        <color theme="1"/>
        <rFont val="Calibri"/>
        <family val="2"/>
        <scheme val="minor"/>
      </rPr>
      <t xml:space="preserve"> at 
Start-Up (t1)</t>
    </r>
  </si>
  <si>
    <r>
      <t xml:space="preserve">Effective Flue Gas </t>
    </r>
    <r>
      <rPr>
        <sz val="9"/>
        <color theme="1"/>
        <rFont val="Symbol"/>
        <family val="1"/>
        <charset val="2"/>
      </rPr>
      <t>DT</t>
    </r>
    <r>
      <rPr>
        <sz val="9"/>
        <color theme="1"/>
        <rFont val="Calibri"/>
        <family val="2"/>
        <scheme val="minor"/>
      </rPr>
      <t xml:space="preserve"> at Burner Start-Up, Corrected for Burner Cycling Effect</t>
    </r>
  </si>
  <si>
    <r>
      <t>L</t>
    </r>
    <r>
      <rPr>
        <vertAlign val="subscript"/>
        <sz val="9"/>
        <color theme="1"/>
        <rFont val="Calibri"/>
        <family val="2"/>
        <scheme val="minor"/>
      </rPr>
      <t>S,ON</t>
    </r>
  </si>
  <si>
    <r>
      <t>L</t>
    </r>
    <r>
      <rPr>
        <vertAlign val="subscript"/>
        <sz val="9"/>
        <color theme="1"/>
        <rFont val="Calibri"/>
        <family val="2"/>
        <scheme val="minor"/>
      </rPr>
      <t>S,OFF</t>
    </r>
  </si>
  <si>
    <r>
      <t>L</t>
    </r>
    <r>
      <rPr>
        <vertAlign val="subscript"/>
        <sz val="9"/>
        <color theme="1"/>
        <rFont val="Calibri"/>
        <family val="2"/>
        <scheme val="minor"/>
      </rPr>
      <t>I,OFF</t>
    </r>
  </si>
  <si>
    <r>
      <t>L</t>
    </r>
    <r>
      <rPr>
        <vertAlign val="subscript"/>
        <sz val="9"/>
        <color theme="1"/>
        <rFont val="Calibri"/>
        <family val="2"/>
        <scheme val="minor"/>
      </rPr>
      <t>I,ON</t>
    </r>
  </si>
  <si>
    <r>
      <t>Calculations Affected by Outside Air, EFF</t>
    </r>
    <r>
      <rPr>
        <b/>
        <vertAlign val="subscript"/>
        <sz val="9"/>
        <color theme="1"/>
        <rFont val="Calibri"/>
        <family val="2"/>
        <scheme val="minor"/>
      </rPr>
      <t>ySS</t>
    </r>
    <r>
      <rPr>
        <b/>
        <sz val="9"/>
        <color theme="1"/>
        <rFont val="Calibri"/>
        <family val="2"/>
        <scheme val="minor"/>
      </rPr>
      <t>, AFUE</t>
    </r>
  </si>
  <si>
    <r>
      <t>R</t>
    </r>
    <r>
      <rPr>
        <vertAlign val="subscript"/>
        <sz val="9"/>
        <color rgb="FFFF0000"/>
        <rFont val="Calibri"/>
        <family val="2"/>
        <scheme val="minor"/>
      </rPr>
      <t>T,S</t>
    </r>
  </si>
  <si>
    <r>
      <rPr>
        <sz val="9"/>
        <color rgb="FFFF0000"/>
        <rFont val="Calibri"/>
        <family val="2"/>
      </rPr>
      <t>∆</t>
    </r>
    <r>
      <rPr>
        <sz val="9"/>
        <color rgb="FFFF0000"/>
        <rFont val="Calibri"/>
        <family val="2"/>
        <scheme val="minor"/>
      </rPr>
      <t>T</t>
    </r>
    <r>
      <rPr>
        <vertAlign val="subscript"/>
        <sz val="9"/>
        <color rgb="FFFF0000"/>
        <rFont val="Calibri"/>
        <family val="2"/>
        <scheme val="minor"/>
      </rPr>
      <t>S,SS</t>
    </r>
  </si>
  <si>
    <r>
      <t>R</t>
    </r>
    <r>
      <rPr>
        <vertAlign val="subscript"/>
        <sz val="9"/>
        <rFont val="Calibri"/>
        <family val="2"/>
        <scheme val="minor"/>
      </rPr>
      <t>T,F</t>
    </r>
  </si>
  <si>
    <r>
      <t>30min Steady-state Condensate@Maximum Heating Mode: M</t>
    </r>
    <r>
      <rPr>
        <b/>
        <vertAlign val="subscript"/>
        <sz val="10"/>
        <color theme="1"/>
        <rFont val="Calibri"/>
        <family val="2"/>
        <scheme val="minor"/>
      </rPr>
      <t>C,SS</t>
    </r>
  </si>
  <si>
    <t>30min Steady-State NG input rate@Maximum heating mode</t>
  </si>
  <si>
    <t>Cummulated Condensate Data@Steady-State Test and Cyclic Test</t>
  </si>
  <si>
    <r>
      <rPr>
        <sz val="9"/>
        <rFont val="Calibri"/>
        <family val="2"/>
      </rPr>
      <t>∆</t>
    </r>
    <r>
      <rPr>
        <sz val="9"/>
        <rFont val="Calibri"/>
        <family val="2"/>
        <scheme val="minor"/>
      </rPr>
      <t>T</t>
    </r>
    <r>
      <rPr>
        <vertAlign val="subscript"/>
        <sz val="9"/>
        <rFont val="Calibri"/>
        <family val="2"/>
        <scheme val="minor"/>
      </rPr>
      <t>F,SS</t>
    </r>
  </si>
  <si>
    <t>LG,SS</t>
  </si>
  <si>
    <t>LC,SS</t>
  </si>
  <si>
    <t>Latent Heat Loss due to condensating at Going down the drain</t>
  </si>
  <si>
    <t>Latent Heat Loss due to condensating at Steady-State Operation</t>
  </si>
  <si>
    <t>LG</t>
  </si>
  <si>
    <t>Part-Load Heat-Loss due to Condensate Going Down the Drain</t>
  </si>
  <si>
    <t>LC</t>
  </si>
  <si>
    <r>
      <t>Measured Steady-state Condensate@3or6Cyclic Heating Mode: M</t>
    </r>
    <r>
      <rPr>
        <b/>
        <vertAlign val="subscript"/>
        <sz val="10"/>
        <color theme="1"/>
        <rFont val="Calibri"/>
        <family val="2"/>
        <scheme val="minor"/>
      </rPr>
      <t>C,CYC</t>
    </r>
  </si>
  <si>
    <r>
      <t>M</t>
    </r>
    <r>
      <rPr>
        <b/>
        <vertAlign val="subscript"/>
        <sz val="10"/>
        <color theme="1"/>
        <rFont val="Calibri"/>
        <family val="2"/>
        <scheme val="minor"/>
      </rPr>
      <t>C</t>
    </r>
    <r>
      <rPr>
        <b/>
        <sz val="10"/>
        <color theme="1"/>
        <rFont val="Calibri"/>
        <family val="2"/>
        <scheme val="minor"/>
      </rPr>
      <t xml:space="preserve"> :NG Mass @3or6Cyclic heating mode</t>
    </r>
  </si>
  <si>
    <r>
      <t>M</t>
    </r>
    <r>
      <rPr>
        <b/>
        <vertAlign val="subscript"/>
        <sz val="10"/>
        <color theme="1"/>
        <rFont val="Calibri"/>
        <family val="2"/>
        <scheme val="minor"/>
      </rPr>
      <t>C,R</t>
    </r>
    <r>
      <rPr>
        <b/>
        <sz val="10"/>
        <color theme="1"/>
        <rFont val="Calibri"/>
        <family val="2"/>
        <scheme val="minor"/>
      </rPr>
      <t xml:space="preserve"> :NG Mass @3or6Cyclic heating mode</t>
    </r>
  </si>
  <si>
    <r>
      <t>Measured Steady-state Condensate@3or6Cyclic Heating Mode: M</t>
    </r>
    <r>
      <rPr>
        <b/>
        <vertAlign val="subscript"/>
        <sz val="10"/>
        <color theme="1"/>
        <rFont val="Calibri"/>
        <family val="2"/>
        <scheme val="minor"/>
      </rPr>
      <t>C,CYC,R</t>
    </r>
  </si>
  <si>
    <r>
      <t>T</t>
    </r>
    <r>
      <rPr>
        <vertAlign val="subscript"/>
        <sz val="9"/>
        <color rgb="FFFF0000"/>
        <rFont val="Calibri"/>
        <family val="2"/>
        <scheme val="minor"/>
      </rPr>
      <t>S,SS</t>
    </r>
  </si>
  <si>
    <r>
      <t xml:space="preserve">Effective Stack Gas </t>
    </r>
    <r>
      <rPr>
        <sz val="9"/>
        <color rgb="FFFF0000"/>
        <rFont val="Symbol"/>
        <family val="1"/>
        <charset val="2"/>
      </rPr>
      <t>D</t>
    </r>
    <r>
      <rPr>
        <sz val="9.6999999999999993"/>
        <color rgb="FFFF0000"/>
        <rFont val="Calibri"/>
        <family val="2"/>
      </rPr>
      <t>T</t>
    </r>
    <r>
      <rPr>
        <sz val="9"/>
        <color rgb="FFFF0000"/>
        <rFont val="Calibri"/>
        <family val="2"/>
        <scheme val="minor"/>
      </rPr>
      <t xml:space="preserve"> at Shutdown (t3)</t>
    </r>
  </si>
  <si>
    <r>
      <rPr>
        <sz val="9"/>
        <color rgb="FFFF0000"/>
        <rFont val="Symbol"/>
        <family val="1"/>
        <charset val="2"/>
      </rPr>
      <t>Y</t>
    </r>
    <r>
      <rPr>
        <vertAlign val="subscript"/>
        <sz val="9"/>
        <color rgb="FFFF0000"/>
        <rFont val="Calibri"/>
        <family val="2"/>
        <scheme val="minor"/>
      </rPr>
      <t>S,O,X</t>
    </r>
  </si>
  <si>
    <r>
      <t xml:space="preserve">Effective Stack Gas </t>
    </r>
    <r>
      <rPr>
        <sz val="9"/>
        <color rgb="FFFF0000"/>
        <rFont val="Symbol"/>
        <family val="1"/>
        <charset val="2"/>
      </rPr>
      <t>D</t>
    </r>
    <r>
      <rPr>
        <sz val="9.6999999999999993"/>
        <color rgb="FFFF0000"/>
        <rFont val="Calibri"/>
        <family val="2"/>
      </rPr>
      <t>T</t>
    </r>
    <r>
      <rPr>
        <sz val="9"/>
        <color rgb="FFFF0000"/>
        <rFont val="Calibri"/>
        <family val="2"/>
        <scheme val="minor"/>
      </rPr>
      <t xml:space="preserve"> at Burner Shutdown, Corrected for Burner Cycling Effect</t>
    </r>
  </si>
  <si>
    <r>
      <rPr>
        <sz val="9"/>
        <color rgb="FFFF0000"/>
        <rFont val="Symbol"/>
        <family val="1"/>
        <charset val="2"/>
      </rPr>
      <t>Y</t>
    </r>
    <r>
      <rPr>
        <vertAlign val="subscript"/>
        <sz val="9"/>
        <color rgb="FFFF0000"/>
        <rFont val="Calibri"/>
        <family val="2"/>
        <scheme val="minor"/>
      </rPr>
      <t>S,</t>
    </r>
    <r>
      <rPr>
        <vertAlign val="subscript"/>
        <sz val="9"/>
        <color rgb="FFFF0000"/>
        <rFont val="Symbol"/>
        <family val="1"/>
        <charset val="2"/>
      </rPr>
      <t>O</t>
    </r>
  </si>
  <si>
    <r>
      <t>S/F</t>
    </r>
    <r>
      <rPr>
        <vertAlign val="subscript"/>
        <sz val="9"/>
        <color theme="1"/>
        <rFont val="Calibri"/>
        <family val="2"/>
        <scheme val="minor"/>
      </rPr>
      <t>R</t>
    </r>
  </si>
  <si>
    <r>
      <t>R</t>
    </r>
    <r>
      <rPr>
        <vertAlign val="subscript"/>
        <sz val="9"/>
        <color theme="1"/>
        <rFont val="Calibri"/>
        <family val="2"/>
        <scheme val="minor"/>
      </rPr>
      <t>T,F,R</t>
    </r>
  </si>
  <si>
    <r>
      <rPr>
        <sz val="9"/>
        <color theme="1"/>
        <rFont val="Calibri"/>
        <family val="2"/>
      </rPr>
      <t>∆</t>
    </r>
    <r>
      <rPr>
        <sz val="9"/>
        <color theme="1"/>
        <rFont val="Calibri"/>
        <family val="2"/>
        <scheme val="minor"/>
      </rPr>
      <t>T</t>
    </r>
    <r>
      <rPr>
        <vertAlign val="subscript"/>
        <sz val="9"/>
        <color theme="1"/>
        <rFont val="Calibri"/>
        <family val="2"/>
        <scheme val="minor"/>
      </rPr>
      <t>F,SS,R</t>
    </r>
  </si>
  <si>
    <r>
      <rPr>
        <sz val="9"/>
        <color theme="1"/>
        <rFont val="Calibri"/>
        <family val="2"/>
      </rPr>
      <t>∆</t>
    </r>
    <r>
      <rPr>
        <sz val="9"/>
        <color theme="1"/>
        <rFont val="Calibri"/>
        <family val="2"/>
        <scheme val="minor"/>
      </rPr>
      <t>T</t>
    </r>
    <r>
      <rPr>
        <vertAlign val="subscript"/>
        <sz val="9"/>
        <color theme="1"/>
        <rFont val="Calibri"/>
        <family val="2"/>
        <scheme val="minor"/>
      </rPr>
      <t>S,SS,R</t>
    </r>
  </si>
  <si>
    <r>
      <t>M</t>
    </r>
    <r>
      <rPr>
        <vertAlign val="subscript"/>
        <sz val="9"/>
        <color theme="1"/>
        <rFont val="Calibri"/>
        <family val="2"/>
        <scheme val="minor"/>
      </rPr>
      <t>F,ON,R</t>
    </r>
  </si>
  <si>
    <r>
      <t>L</t>
    </r>
    <r>
      <rPr>
        <vertAlign val="subscript"/>
        <sz val="9"/>
        <color theme="1"/>
        <rFont val="Calibri"/>
        <family val="2"/>
        <scheme val="minor"/>
      </rPr>
      <t>S,SS,R</t>
    </r>
  </si>
  <si>
    <r>
      <t>EFF</t>
    </r>
    <r>
      <rPr>
        <vertAlign val="subscript"/>
        <sz val="9"/>
        <color theme="1"/>
        <rFont val="Calibri"/>
        <family val="2"/>
        <scheme val="minor"/>
      </rPr>
      <t>ySS,R</t>
    </r>
  </si>
  <si>
    <t>Lj,R</t>
  </si>
  <si>
    <r>
      <t>Q</t>
    </r>
    <r>
      <rPr>
        <vertAlign val="subscript"/>
        <sz val="9"/>
        <color theme="1"/>
        <rFont val="Calibri"/>
        <family val="2"/>
        <scheme val="minor"/>
      </rPr>
      <t>OUT,R</t>
    </r>
  </si>
  <si>
    <r>
      <t>α</t>
    </r>
    <r>
      <rPr>
        <vertAlign val="subscript"/>
        <sz val="9"/>
        <color theme="1"/>
        <rFont val="Calibri"/>
        <family val="2"/>
      </rPr>
      <t>R</t>
    </r>
  </si>
  <si>
    <r>
      <t>T</t>
    </r>
    <r>
      <rPr>
        <vertAlign val="subscript"/>
        <sz val="9"/>
        <color theme="1"/>
        <rFont val="Calibri"/>
        <family val="2"/>
      </rPr>
      <t>OA,R</t>
    </r>
  </si>
  <si>
    <t>Balanced-Point Temperature</t>
  </si>
  <si>
    <r>
      <t>T</t>
    </r>
    <r>
      <rPr>
        <vertAlign val="subscript"/>
        <sz val="9"/>
        <color theme="1"/>
        <rFont val="Calibri"/>
        <family val="2"/>
        <scheme val="minor"/>
      </rPr>
      <t>C</t>
    </r>
  </si>
  <si>
    <r>
      <t>T</t>
    </r>
    <r>
      <rPr>
        <vertAlign val="subscript"/>
        <sz val="9"/>
        <color theme="1"/>
        <rFont val="Calibri"/>
        <family val="2"/>
      </rPr>
      <t>OA,H</t>
    </r>
  </si>
  <si>
    <r>
      <t>X</t>
    </r>
    <r>
      <rPr>
        <vertAlign val="subscript"/>
        <sz val="9"/>
        <color theme="1"/>
        <rFont val="Calibri"/>
        <family val="2"/>
        <scheme val="minor"/>
      </rPr>
      <t>H</t>
    </r>
  </si>
  <si>
    <t>Fraction of Heating load at the Reduced fUEL Input rate Operating Mode</t>
  </si>
  <si>
    <t>Fraction of Heating load at thMaximum Fuel Input rate Operating Mode</t>
  </si>
  <si>
    <r>
      <t>X</t>
    </r>
    <r>
      <rPr>
        <vertAlign val="subscript"/>
        <sz val="9"/>
        <color theme="1"/>
        <rFont val="Calibri"/>
        <family val="2"/>
        <scheme val="minor"/>
      </rPr>
      <t>R</t>
    </r>
  </si>
  <si>
    <r>
      <t>K</t>
    </r>
    <r>
      <rPr>
        <vertAlign val="subscript"/>
        <sz val="9"/>
        <color theme="1"/>
        <rFont val="Calibri"/>
        <family val="2"/>
        <scheme val="minor"/>
      </rPr>
      <t>S, ON,R</t>
    </r>
  </si>
  <si>
    <r>
      <t>K</t>
    </r>
    <r>
      <rPr>
        <vertAlign val="subscript"/>
        <sz val="9"/>
        <color theme="1"/>
        <rFont val="Calibri"/>
        <family val="2"/>
        <scheme val="minor"/>
      </rPr>
      <t>I, ON,R</t>
    </r>
  </si>
  <si>
    <r>
      <t>T</t>
    </r>
    <r>
      <rPr>
        <vertAlign val="subscript"/>
        <sz val="9"/>
        <rFont val="Calibri"/>
        <family val="2"/>
        <scheme val="minor"/>
      </rPr>
      <t>S,SS</t>
    </r>
  </si>
  <si>
    <r>
      <t>K</t>
    </r>
    <r>
      <rPr>
        <vertAlign val="subscript"/>
        <sz val="9"/>
        <rFont val="Calibri"/>
        <family val="2"/>
        <scheme val="minor"/>
      </rPr>
      <t>S, ON</t>
    </r>
  </si>
  <si>
    <r>
      <t>K</t>
    </r>
    <r>
      <rPr>
        <vertAlign val="subscript"/>
        <sz val="9"/>
        <rFont val="Calibri"/>
        <family val="2"/>
        <scheme val="minor"/>
      </rPr>
      <t>I, ON</t>
    </r>
  </si>
  <si>
    <r>
      <rPr>
        <sz val="9"/>
        <color theme="1"/>
        <rFont val="Symbol"/>
        <family val="1"/>
        <charset val="2"/>
      </rPr>
      <t>t</t>
    </r>
    <r>
      <rPr>
        <vertAlign val="subscript"/>
        <sz val="9"/>
        <color theme="1"/>
        <rFont val="Calibri"/>
        <family val="2"/>
        <scheme val="minor"/>
      </rPr>
      <t>ON,R</t>
    </r>
  </si>
  <si>
    <r>
      <t>R</t>
    </r>
    <r>
      <rPr>
        <vertAlign val="subscript"/>
        <sz val="9"/>
        <color theme="1"/>
        <rFont val="Calibri"/>
        <family val="2"/>
        <scheme val="minor"/>
      </rPr>
      <t>ON,R</t>
    </r>
  </si>
  <si>
    <r>
      <t>C</t>
    </r>
    <r>
      <rPr>
        <vertAlign val="subscript"/>
        <sz val="9"/>
        <color theme="1"/>
        <rFont val="Calibri"/>
        <family val="2"/>
        <scheme val="minor"/>
      </rPr>
      <t>T,ON,R</t>
    </r>
  </si>
  <si>
    <r>
      <rPr>
        <sz val="9"/>
        <color theme="1"/>
        <rFont val="Symbol"/>
        <family val="1"/>
        <charset val="2"/>
      </rPr>
      <t>q</t>
    </r>
    <r>
      <rPr>
        <vertAlign val="subscript"/>
        <sz val="9"/>
        <color theme="1"/>
        <rFont val="Calibri"/>
        <family val="2"/>
        <scheme val="minor"/>
      </rPr>
      <t>F,O,X,R</t>
    </r>
  </si>
  <si>
    <r>
      <rPr>
        <sz val="9"/>
        <color theme="1"/>
        <rFont val="Symbol"/>
        <family val="1"/>
        <charset val="2"/>
      </rPr>
      <t>t</t>
    </r>
    <r>
      <rPr>
        <vertAlign val="subscript"/>
        <sz val="9"/>
        <color theme="1"/>
        <rFont val="Calibri"/>
        <family val="2"/>
        <scheme val="minor"/>
      </rPr>
      <t>Off,R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</si>
  <si>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F,O,X,R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</si>
  <si>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F,</t>
    </r>
    <r>
      <rPr>
        <vertAlign val="subscript"/>
        <sz val="9"/>
        <color theme="1"/>
        <rFont val="Symbol"/>
        <family val="1"/>
        <charset val="2"/>
      </rPr>
      <t>µ</t>
    </r>
    <r>
      <rPr>
        <vertAlign val="subscript"/>
        <sz val="9"/>
        <color theme="1"/>
        <rFont val="Calibri"/>
        <family val="2"/>
        <scheme val="minor"/>
      </rPr>
      <t>,X,R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</si>
  <si>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S,</t>
    </r>
    <r>
      <rPr>
        <vertAlign val="subscript"/>
        <sz val="9"/>
        <color theme="1"/>
        <rFont val="Symbol"/>
        <family val="1"/>
        <charset val="2"/>
      </rPr>
      <t>µ</t>
    </r>
    <r>
      <rPr>
        <vertAlign val="subscript"/>
        <sz val="9"/>
        <color theme="1"/>
        <rFont val="Calibri"/>
        <family val="2"/>
        <scheme val="minor"/>
      </rPr>
      <t>,X,R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</si>
  <si>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S,O,X,R</t>
    </r>
  </si>
  <si>
    <r>
      <t>LF</t>
    </r>
    <r>
      <rPr>
        <vertAlign val="subscript"/>
        <sz val="9"/>
        <color theme="1"/>
        <rFont val="Calibri"/>
        <family val="2"/>
        <scheme val="minor"/>
      </rPr>
      <t>R</t>
    </r>
  </si>
  <si>
    <r>
      <t>LF</t>
    </r>
    <r>
      <rPr>
        <vertAlign val="subscript"/>
        <sz val="9"/>
        <color theme="1"/>
        <rFont val="Calibri"/>
        <family val="2"/>
        <scheme val="minor"/>
      </rPr>
      <t>H</t>
    </r>
  </si>
  <si>
    <r>
      <t>t</t>
    </r>
    <r>
      <rPr>
        <vertAlign val="subscript"/>
        <sz val="9"/>
        <color theme="1"/>
        <rFont val="Calibri"/>
        <family val="2"/>
        <scheme val="minor"/>
      </rPr>
      <t>OFF</t>
    </r>
  </si>
  <si>
    <r>
      <t>t</t>
    </r>
    <r>
      <rPr>
        <vertAlign val="subscript"/>
        <sz val="9"/>
        <color theme="1"/>
        <rFont val="Calibri"/>
        <family val="2"/>
        <scheme val="minor"/>
      </rPr>
      <t>OFF,R</t>
    </r>
  </si>
  <si>
    <r>
      <t>R</t>
    </r>
    <r>
      <rPr>
        <vertAlign val="subscript"/>
        <sz val="9"/>
        <color theme="1"/>
        <rFont val="Calibri"/>
        <family val="2"/>
        <scheme val="minor"/>
      </rPr>
      <t>OFF,R</t>
    </r>
  </si>
  <si>
    <r>
      <t>C</t>
    </r>
    <r>
      <rPr>
        <vertAlign val="subscript"/>
        <sz val="9"/>
        <color theme="1"/>
        <rFont val="Calibri"/>
        <family val="2"/>
        <scheme val="minor"/>
      </rPr>
      <t>T,OFF,R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</si>
  <si>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F,O,R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</si>
  <si>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F,</t>
    </r>
    <r>
      <rPr>
        <vertAlign val="subscript"/>
        <sz val="9"/>
        <color theme="1"/>
        <rFont val="Symbol"/>
        <family val="1"/>
        <charset val="2"/>
      </rPr>
      <t>µ</t>
    </r>
    <r>
      <rPr>
        <vertAlign val="subscript"/>
        <sz val="9"/>
        <color theme="1"/>
        <rFont val="Calibri"/>
        <family val="2"/>
        <scheme val="minor"/>
      </rPr>
      <t>,R</t>
    </r>
  </si>
  <si>
    <r>
      <rPr>
        <sz val="9"/>
        <color theme="1"/>
        <rFont val="Symbol"/>
        <family val="1"/>
        <charset val="2"/>
      </rPr>
      <t>Y</t>
    </r>
    <r>
      <rPr>
        <vertAlign val="subscript"/>
        <sz val="9"/>
        <color theme="1"/>
        <rFont val="Calibri"/>
        <family val="2"/>
        <scheme val="minor"/>
      </rPr>
      <t>S,</t>
    </r>
    <r>
      <rPr>
        <vertAlign val="subscript"/>
        <sz val="9"/>
        <color theme="1"/>
        <rFont val="Symbol"/>
        <family val="1"/>
        <charset val="2"/>
      </rPr>
      <t>O</t>
    </r>
    <r>
      <rPr>
        <vertAlign val="subscript"/>
        <sz val="9"/>
        <color theme="1"/>
        <rFont val="Calibri"/>
        <family val="2"/>
        <scheme val="minor"/>
      </rPr>
      <t>,R</t>
    </r>
  </si>
  <si>
    <r>
      <t>Cs</t>
    </r>
    <r>
      <rPr>
        <vertAlign val="subscript"/>
        <sz val="9"/>
        <color theme="1"/>
        <rFont val="Calibri"/>
        <family val="2"/>
        <scheme val="minor"/>
      </rPr>
      <t>,R</t>
    </r>
  </si>
  <si>
    <r>
      <rPr>
        <sz val="9"/>
        <color theme="1"/>
        <rFont val="Symbol"/>
        <family val="1"/>
        <charset val="2"/>
      </rPr>
      <t>q</t>
    </r>
    <r>
      <rPr>
        <vertAlign val="subscript"/>
        <sz val="9"/>
        <color theme="1"/>
        <rFont val="Calibri"/>
        <family val="2"/>
        <scheme val="minor"/>
      </rPr>
      <t>F,O,R</t>
    </r>
  </si>
  <si>
    <r>
      <t>K</t>
    </r>
    <r>
      <rPr>
        <vertAlign val="subscript"/>
        <sz val="9"/>
        <color theme="1"/>
        <rFont val="Calibri"/>
        <family val="2"/>
        <scheme val="minor"/>
      </rPr>
      <t>S,OFF,R</t>
    </r>
  </si>
  <si>
    <t>KI,OFF,R</t>
  </si>
  <si>
    <t>On-Cycle Infiltration heat loss for  Modulating mode</t>
  </si>
  <si>
    <r>
      <t>L</t>
    </r>
    <r>
      <rPr>
        <vertAlign val="subscript"/>
        <sz val="9"/>
        <color theme="1"/>
        <rFont val="Calibri"/>
        <family val="2"/>
        <scheme val="minor"/>
      </rPr>
      <t>I,ON,M</t>
    </r>
  </si>
  <si>
    <t>Steady-state Efficiency for the modulating mode</t>
  </si>
  <si>
    <r>
      <t>EFF</t>
    </r>
    <r>
      <rPr>
        <vertAlign val="subscript"/>
        <sz val="9"/>
        <color theme="1"/>
        <rFont val="Calibri"/>
        <family val="2"/>
        <scheme val="minor"/>
      </rPr>
      <t>ySS,M</t>
    </r>
  </si>
  <si>
    <t>Weighted Steady-state Efficiency for the two-stage mode</t>
  </si>
  <si>
    <r>
      <t>Q</t>
    </r>
    <r>
      <rPr>
        <vertAlign val="subscript"/>
        <sz val="9"/>
        <color theme="1"/>
        <rFont val="Calibri"/>
        <family val="2"/>
        <scheme val="minor"/>
      </rPr>
      <t>OUT,M</t>
    </r>
  </si>
  <si>
    <t>PART-Load Efficiency for Modulating mode</t>
  </si>
  <si>
    <r>
      <t>EFF</t>
    </r>
    <r>
      <rPr>
        <vertAlign val="subscript"/>
        <sz val="9"/>
        <color theme="1"/>
        <rFont val="Calibri"/>
        <family val="2"/>
        <scheme val="minor"/>
      </rPr>
      <t>yU,M</t>
    </r>
  </si>
  <si>
    <r>
      <t>EFF</t>
    </r>
    <r>
      <rPr>
        <vertAlign val="subscript"/>
        <sz val="9"/>
        <color theme="1"/>
        <rFont val="Calibri"/>
        <family val="2"/>
        <scheme val="minor"/>
      </rPr>
      <t>ySS,W</t>
    </r>
  </si>
  <si>
    <r>
      <t>EFF</t>
    </r>
    <r>
      <rPr>
        <vertAlign val="subscript"/>
        <sz val="9"/>
        <color theme="1"/>
        <rFont val="Calibri"/>
        <family val="2"/>
        <scheme val="minor"/>
      </rPr>
      <t>yU,R</t>
    </r>
  </si>
  <si>
    <r>
      <t>L</t>
    </r>
    <r>
      <rPr>
        <vertAlign val="subscript"/>
        <sz val="9"/>
        <color theme="1"/>
        <rFont val="Calibri"/>
        <family val="2"/>
        <scheme val="minor"/>
      </rPr>
      <t>S,ON,R</t>
    </r>
  </si>
  <si>
    <r>
      <t>L</t>
    </r>
    <r>
      <rPr>
        <vertAlign val="subscript"/>
        <sz val="9"/>
        <color theme="1"/>
        <rFont val="Calibri"/>
        <family val="2"/>
        <scheme val="minor"/>
      </rPr>
      <t>S,OFF</t>
    </r>
    <r>
      <rPr>
        <sz val="9"/>
        <color theme="1"/>
        <rFont val="Calibri"/>
        <family val="2"/>
        <scheme val="minor"/>
      </rPr>
      <t>,R</t>
    </r>
  </si>
  <si>
    <r>
      <t>L</t>
    </r>
    <r>
      <rPr>
        <vertAlign val="subscript"/>
        <sz val="9"/>
        <color theme="1"/>
        <rFont val="Calibri"/>
        <family val="2"/>
        <scheme val="minor"/>
      </rPr>
      <t>I,ON,R</t>
    </r>
  </si>
  <si>
    <r>
      <t>L</t>
    </r>
    <r>
      <rPr>
        <vertAlign val="subscript"/>
        <sz val="9"/>
        <color theme="1"/>
        <rFont val="Calibri"/>
        <family val="2"/>
        <scheme val="minor"/>
      </rPr>
      <t>I,OFF</t>
    </r>
    <r>
      <rPr>
        <sz val="9"/>
        <color theme="1"/>
        <rFont val="Calibri"/>
        <family val="2"/>
        <scheme val="minor"/>
      </rPr>
      <t>,R</t>
    </r>
  </si>
  <si>
    <t>PART-Load Efficiency at Maximum Fuel Input rate (tow-stage mode)</t>
  </si>
  <si>
    <t>PART-Load Efficiency at Reduced Fuel Input rate (Modulating mode)</t>
  </si>
  <si>
    <r>
      <t>EFF</t>
    </r>
    <r>
      <rPr>
        <vertAlign val="subscript"/>
        <sz val="9"/>
        <color theme="1"/>
        <rFont val="Calibri"/>
        <family val="2"/>
        <scheme val="minor"/>
      </rPr>
      <t>yU,H</t>
    </r>
  </si>
  <si>
    <t>Furance Stack/Damper parameter( not fit system condensing cases )</t>
  </si>
  <si>
    <r>
      <t>T</t>
    </r>
    <r>
      <rPr>
        <vertAlign val="subscript"/>
        <sz val="9"/>
        <color rgb="FFFF0000"/>
        <rFont val="Calibri"/>
        <family val="2"/>
      </rPr>
      <t>OA</t>
    </r>
  </si>
  <si>
    <t>Ratio of combustion&amp;relief Air to stoich air at maximum&amp;reduced Fuel input rate</t>
  </si>
  <si>
    <t>Ratio of combustion air to stoich air at maximum&amp;reduced Fuel input rate</t>
  </si>
  <si>
    <t>Average ratio of stack gas mass flow rate to flue gas mass flow rate  at maximum&amp;reduced Fuel input rate</t>
  </si>
  <si>
    <t>Steady-state flue temperature rise at maximum&amp;reduced Fuel input rate</t>
  </si>
  <si>
    <t>Steady-state stack temperature rise at maximum&amp;reduced Fuel input rate</t>
  </si>
  <si>
    <t>Mass rate uduring burner ON-Period at maximum&amp;reduced Fuel input rate</t>
  </si>
  <si>
    <t>Average sensible heat loss at steady-state operation at maximum&amp;reduced Fuel input rate</t>
  </si>
  <si>
    <t>Steady-State Efficiency at maximum&amp;reduced Fuel input rate</t>
  </si>
  <si>
    <t>Jacket Loss in percent at maximum&amp;reduced Fuel input rate</t>
  </si>
  <si>
    <t>Maximum &amp; reduced fuel input rate heating capacity</t>
  </si>
  <si>
    <t>National average oversize Factor at maximum&amp;reduced Fuel input rate</t>
  </si>
  <si>
    <t>National average outdoor temperature at maximum&amp;reduced Fuel input rate</t>
  </si>
  <si>
    <r>
      <t>T</t>
    </r>
    <r>
      <rPr>
        <vertAlign val="subscript"/>
        <sz val="9"/>
        <color rgb="FFFF0000"/>
        <rFont val="Calibri"/>
        <family val="2"/>
        <scheme val="minor"/>
      </rPr>
      <t>S,SS,R</t>
    </r>
  </si>
  <si>
    <r>
      <t>t</t>
    </r>
    <r>
      <rPr>
        <vertAlign val="subscript"/>
        <sz val="9"/>
        <color theme="1"/>
        <rFont val="Calibri"/>
        <family val="2"/>
        <scheme val="minor"/>
      </rPr>
      <t>ON</t>
    </r>
  </si>
  <si>
    <r>
      <t>t</t>
    </r>
    <r>
      <rPr>
        <vertAlign val="subscript"/>
        <sz val="9"/>
        <color theme="1"/>
        <rFont val="Calibri"/>
        <family val="2"/>
        <scheme val="minor"/>
      </rPr>
      <t>ON,R</t>
    </r>
  </si>
  <si>
    <r>
      <t>D</t>
    </r>
    <r>
      <rPr>
        <vertAlign val="subscript"/>
        <sz val="9"/>
        <color theme="1"/>
        <rFont val="Calibri"/>
        <family val="2"/>
        <scheme val="minor"/>
      </rPr>
      <t>S,R</t>
    </r>
  </si>
  <si>
    <t>Do,R</t>
  </si>
  <si>
    <r>
      <t>R</t>
    </r>
    <r>
      <rPr>
        <vertAlign val="subscript"/>
        <sz val="9"/>
        <color rgb="FFFF0000"/>
        <rFont val="Calibri"/>
        <family val="2"/>
        <scheme val="minor"/>
      </rPr>
      <t>T,F,R</t>
    </r>
  </si>
  <si>
    <r>
      <rPr>
        <sz val="9"/>
        <color rgb="FFFF0000"/>
        <rFont val="Calibri"/>
        <family val="2"/>
      </rPr>
      <t>∆</t>
    </r>
    <r>
      <rPr>
        <sz val="9"/>
        <color rgb="FFFF0000"/>
        <rFont val="Calibri"/>
        <family val="2"/>
        <scheme val="minor"/>
      </rPr>
      <t>T</t>
    </r>
    <r>
      <rPr>
        <vertAlign val="subscript"/>
        <sz val="9"/>
        <color rgb="FFFF0000"/>
        <rFont val="Calibri"/>
        <family val="2"/>
        <scheme val="minor"/>
      </rPr>
      <t>S,SS,R</t>
    </r>
  </si>
  <si>
    <t>30min Steady-State NG input rate@Reduced heating mode</t>
  </si>
  <si>
    <r>
      <t>30min Steady-state Condensate@Reduced Heating Mode: M</t>
    </r>
    <r>
      <rPr>
        <b/>
        <vertAlign val="subscript"/>
        <sz val="10"/>
        <color theme="1"/>
        <rFont val="Calibri"/>
        <family val="2"/>
        <scheme val="minor"/>
      </rPr>
      <t>C,R</t>
    </r>
  </si>
  <si>
    <t>LG,SS,R</t>
  </si>
  <si>
    <t>LC,SS,R</t>
  </si>
  <si>
    <r>
      <rPr>
        <sz val="9"/>
        <color rgb="FFFF0000"/>
        <rFont val="Symbol"/>
        <family val="1"/>
        <charset val="2"/>
      </rPr>
      <t>Y</t>
    </r>
    <r>
      <rPr>
        <vertAlign val="subscript"/>
        <sz val="9"/>
        <color rgb="FFFF0000"/>
        <rFont val="Calibri"/>
        <family val="2"/>
        <scheme val="minor"/>
      </rPr>
      <t>S,</t>
    </r>
    <r>
      <rPr>
        <vertAlign val="subscript"/>
        <sz val="9"/>
        <color rgb="FFFF0000"/>
        <rFont val="Symbol"/>
        <family val="1"/>
        <charset val="2"/>
      </rPr>
      <t>O</t>
    </r>
    <r>
      <rPr>
        <vertAlign val="subscript"/>
        <sz val="9"/>
        <color rgb="FFFF0000"/>
        <rFont val="Calibri"/>
        <family val="2"/>
        <scheme val="minor"/>
      </rPr>
      <t>,R</t>
    </r>
  </si>
  <si>
    <r>
      <rPr>
        <sz val="9"/>
        <color rgb="FFFF0000"/>
        <rFont val="Symbol"/>
        <family val="1"/>
        <charset val="2"/>
      </rPr>
      <t>Y</t>
    </r>
    <r>
      <rPr>
        <vertAlign val="subscript"/>
        <sz val="9"/>
        <color rgb="FFFF0000"/>
        <rFont val="Calibri"/>
        <family val="2"/>
        <scheme val="minor"/>
      </rPr>
      <t>S,O,X,R</t>
    </r>
  </si>
  <si>
    <t>On-Cycle Infiltration heat loss for Modulating mode</t>
  </si>
  <si>
    <t>% (cool-down &amp;heat-up tests are omited)</t>
  </si>
  <si>
    <t>Latent Heat Gain under cyclic Conditions</t>
  </si>
  <si>
    <t>LG,R</t>
  </si>
  <si>
    <t>LC,R</t>
  </si>
  <si>
    <t>Latent Heat Gain under Part-Load Conditions</t>
  </si>
  <si>
    <r>
      <t>Measured reduced heat input rate (Q</t>
    </r>
    <r>
      <rPr>
        <vertAlign val="subscript"/>
        <sz val="10"/>
        <color theme="1" tint="0.499984740745262"/>
        <rFont val="Calibri"/>
        <family val="2"/>
        <scheme val="minor"/>
      </rPr>
      <t>IN,R</t>
    </r>
    <r>
      <rPr>
        <sz val="10"/>
        <color theme="1" tint="0.499984740745262"/>
        <rFont val="Calibri"/>
        <family val="2"/>
        <scheme val="minor"/>
      </rPr>
      <t>)</t>
    </r>
  </si>
  <si>
    <r>
      <t>Flue gas temperature (T</t>
    </r>
    <r>
      <rPr>
        <vertAlign val="subscript"/>
        <sz val="10"/>
        <color theme="1" tint="0.499984740745262"/>
        <rFont val="Calibri"/>
        <family val="2"/>
        <scheme val="minor"/>
      </rPr>
      <t>F,SS</t>
    </r>
    <r>
      <rPr>
        <sz val="10"/>
        <color theme="1" tint="0.499984740745262"/>
        <rFont val="Calibri"/>
        <family val="2"/>
        <scheme val="minor"/>
      </rPr>
      <t>)@reduced heating mode</t>
    </r>
  </si>
  <si>
    <r>
      <t>Flue gas temperature (T</t>
    </r>
    <r>
      <rPr>
        <vertAlign val="subscript"/>
        <sz val="10"/>
        <color theme="1" tint="0.499984740745262"/>
        <rFont val="Calibri"/>
        <family val="2"/>
        <scheme val="minor"/>
      </rPr>
      <t>S,SS,X</t>
    </r>
    <r>
      <rPr>
        <sz val="10"/>
        <color theme="1" tint="0.499984740745262"/>
        <rFont val="Calibri"/>
        <family val="2"/>
        <scheme val="minor"/>
      </rPr>
      <t>)@reduced heating mode</t>
    </r>
  </si>
  <si>
    <r>
      <t>Dry concentration CO2 (XCO</t>
    </r>
    <r>
      <rPr>
        <vertAlign val="subscript"/>
        <sz val="10"/>
        <color theme="1" tint="0.499984740745262"/>
        <rFont val="Calibri"/>
        <family val="2"/>
        <scheme val="minor"/>
      </rPr>
      <t>2,F</t>
    </r>
    <r>
      <rPr>
        <sz val="10"/>
        <color theme="1" tint="0.499984740745262"/>
        <rFont val="Calibri"/>
        <family val="2"/>
        <scheme val="minor"/>
      </rPr>
      <t>)@reduced heating mode</t>
    </r>
  </si>
  <si>
    <r>
      <t>Dry concentration CO2 (XCO</t>
    </r>
    <r>
      <rPr>
        <vertAlign val="subscript"/>
        <sz val="10"/>
        <color theme="1" tint="0.499984740745262"/>
        <rFont val="Calibri"/>
        <family val="2"/>
        <scheme val="minor"/>
      </rPr>
      <t>2,S</t>
    </r>
    <r>
      <rPr>
        <sz val="10"/>
        <color theme="1" tint="0.499984740745262"/>
        <rFont val="Calibri"/>
        <family val="2"/>
        <scheme val="minor"/>
      </rPr>
      <t>)@reduced heating mode</t>
    </r>
  </si>
  <si>
    <r>
      <t>A</t>
    </r>
    <r>
      <rPr>
        <vertAlign val="subscript"/>
        <sz val="11"/>
        <color theme="1" tint="0.499984740745262"/>
        <rFont val="Calibri"/>
        <family val="2"/>
        <scheme val="minor"/>
      </rPr>
      <t>D</t>
    </r>
  </si>
  <si>
    <r>
      <t>A</t>
    </r>
    <r>
      <rPr>
        <vertAlign val="subscript"/>
        <sz val="11"/>
        <color theme="1" tint="0.499984740745262"/>
        <rFont val="Calibri"/>
        <family val="2"/>
        <scheme val="minor"/>
      </rPr>
      <t>O,D</t>
    </r>
  </si>
  <si>
    <r>
      <t>A</t>
    </r>
    <r>
      <rPr>
        <vertAlign val="subscript"/>
        <sz val="11"/>
        <color theme="1" tint="0.499984740745262"/>
        <rFont val="Calibri"/>
        <family val="2"/>
        <scheme val="minor"/>
      </rPr>
      <t>O,L</t>
    </r>
  </si>
  <si>
    <r>
      <t>A</t>
    </r>
    <r>
      <rPr>
        <vertAlign val="subscript"/>
        <sz val="11"/>
        <color theme="1" tint="0.499984740745262"/>
        <rFont val="Calibri"/>
        <family val="2"/>
        <scheme val="minor"/>
      </rPr>
      <t>O</t>
    </r>
  </si>
  <si>
    <r>
      <t>Measured reduced heat input rate (Q</t>
    </r>
    <r>
      <rPr>
        <vertAlign val="subscript"/>
        <sz val="10"/>
        <color theme="0"/>
        <rFont val="Calibri"/>
        <family val="2"/>
        <scheme val="minor"/>
      </rPr>
      <t>IN,R</t>
    </r>
    <r>
      <rPr>
        <sz val="10"/>
        <color theme="0"/>
        <rFont val="Calibri"/>
        <family val="2"/>
        <scheme val="minor"/>
      </rPr>
      <t>)</t>
    </r>
  </si>
  <si>
    <r>
      <t>Flue gas temperature (T</t>
    </r>
    <r>
      <rPr>
        <vertAlign val="subscript"/>
        <sz val="10"/>
        <color theme="0"/>
        <rFont val="Calibri"/>
        <family val="2"/>
        <scheme val="minor"/>
      </rPr>
      <t>F,SS</t>
    </r>
    <r>
      <rPr>
        <sz val="10"/>
        <color theme="0"/>
        <rFont val="Calibri"/>
        <family val="2"/>
        <scheme val="minor"/>
      </rPr>
      <t>)@reduced heating mode</t>
    </r>
  </si>
  <si>
    <r>
      <t>Flue gas temperature (T</t>
    </r>
    <r>
      <rPr>
        <vertAlign val="subscript"/>
        <sz val="10"/>
        <color theme="0"/>
        <rFont val="Calibri"/>
        <family val="2"/>
        <scheme val="minor"/>
      </rPr>
      <t>S,SS,X</t>
    </r>
    <r>
      <rPr>
        <sz val="10"/>
        <color theme="0"/>
        <rFont val="Calibri"/>
        <family val="2"/>
        <scheme val="minor"/>
      </rPr>
      <t>)@reduced heating mode</t>
    </r>
  </si>
  <si>
    <r>
      <t>Dry concentration CO2 (XCO</t>
    </r>
    <r>
      <rPr>
        <vertAlign val="subscript"/>
        <sz val="10"/>
        <color theme="0"/>
        <rFont val="Calibri"/>
        <family val="2"/>
        <scheme val="minor"/>
      </rPr>
      <t>2,F</t>
    </r>
    <r>
      <rPr>
        <sz val="10"/>
        <color theme="0"/>
        <rFont val="Calibri"/>
        <family val="2"/>
        <scheme val="minor"/>
      </rPr>
      <t>)@reduced heating mode</t>
    </r>
  </si>
  <si>
    <r>
      <t>Dry concentration CO2 (XCO</t>
    </r>
    <r>
      <rPr>
        <vertAlign val="subscript"/>
        <sz val="10"/>
        <color theme="0"/>
        <rFont val="Calibri"/>
        <family val="2"/>
        <scheme val="minor"/>
      </rPr>
      <t>2,S</t>
    </r>
    <r>
      <rPr>
        <sz val="10"/>
        <color theme="0"/>
        <rFont val="Calibri"/>
        <family val="2"/>
        <scheme val="minor"/>
      </rPr>
      <t>)@reduced heating mode</t>
    </r>
  </si>
  <si>
    <r>
      <t>30min Steady-state Condensate@Reduced Heating Mode: M</t>
    </r>
    <r>
      <rPr>
        <b/>
        <vertAlign val="subscript"/>
        <sz val="10"/>
        <color theme="0"/>
        <rFont val="Calibri"/>
        <family val="2"/>
        <scheme val="minor"/>
      </rPr>
      <t>C,R</t>
    </r>
  </si>
  <si>
    <r>
      <t>M</t>
    </r>
    <r>
      <rPr>
        <b/>
        <vertAlign val="subscript"/>
        <sz val="10"/>
        <color theme="0"/>
        <rFont val="Calibri"/>
        <family val="2"/>
        <scheme val="minor"/>
      </rPr>
      <t>C,R</t>
    </r>
    <r>
      <rPr>
        <b/>
        <sz val="10"/>
        <color theme="0"/>
        <rFont val="Calibri"/>
        <family val="2"/>
        <scheme val="minor"/>
      </rPr>
      <t xml:space="preserve"> :NG Mass @3or6Cyclic heating mode</t>
    </r>
  </si>
  <si>
    <r>
      <t>Measured Steady-state Condensate@3or6Cyclic Heating Mode: M</t>
    </r>
    <r>
      <rPr>
        <b/>
        <vertAlign val="subscript"/>
        <sz val="10"/>
        <color theme="0"/>
        <rFont val="Calibri"/>
        <family val="2"/>
        <scheme val="minor"/>
      </rPr>
      <t>C,CYC,R</t>
    </r>
  </si>
  <si>
    <t>Part-Load Heat-Loss due to Condensate Going Down the Drain under cyclic condition</t>
  </si>
  <si>
    <t>Vertical surface group area</t>
  </si>
  <si>
    <t>Vertical surface Temperature</t>
  </si>
  <si>
    <t>Downward surface group area</t>
  </si>
  <si>
    <t>Downward surface Temperature</t>
  </si>
  <si>
    <t>Mass rate during burner ON-Period at maximum&amp;reduced Fuel input rate</t>
  </si>
  <si>
    <t>HHVA(kJ/KG)</t>
  </si>
  <si>
    <r>
      <t>Room ambient temperature (T</t>
    </r>
    <r>
      <rPr>
        <b/>
        <vertAlign val="subscript"/>
        <sz val="10"/>
        <color rgb="FFFF0000"/>
        <rFont val="Calibri"/>
        <family val="2"/>
        <scheme val="minor"/>
      </rPr>
      <t>RA</t>
    </r>
    <r>
      <rPr>
        <b/>
        <sz val="10"/>
        <color rgb="FFFF0000"/>
        <rFont val="Calibri"/>
        <family val="2"/>
        <scheme val="minor"/>
      </rPr>
      <t>)</t>
    </r>
  </si>
  <si>
    <t>Maximum heating mode</t>
  </si>
  <si>
    <t>Redcued heating mode</t>
  </si>
  <si>
    <t>Manual:</t>
  </si>
  <si>
    <t>a:</t>
  </si>
  <si>
    <t xml:space="preserve">b: </t>
  </si>
  <si>
    <t>c:</t>
  </si>
  <si>
    <t>d:</t>
  </si>
  <si>
    <t>2. Click the Buttons</t>
  </si>
  <si>
    <r>
      <t xml:space="preserve">1. Select furnace scenario @ the sheet of </t>
    </r>
    <r>
      <rPr>
        <b/>
        <u/>
        <sz val="11"/>
        <color rgb="FFFF0000"/>
        <rFont val="Calibri"/>
        <family val="2"/>
        <scheme val="minor"/>
      </rPr>
      <t>SelectScenario</t>
    </r>
  </si>
  <si>
    <r>
      <t>The button of</t>
    </r>
    <r>
      <rPr>
        <b/>
        <u/>
        <sz val="11"/>
        <color rgb="FFFF0000"/>
        <rFont val="Calibri"/>
        <family val="2"/>
        <scheme val="minor"/>
      </rPr>
      <t xml:space="preserve"> Start</t>
    </r>
    <r>
      <rPr>
        <sz val="11"/>
        <color theme="1"/>
        <rFont val="Calibri"/>
        <family val="2"/>
        <scheme val="minor"/>
      </rPr>
      <t xml:space="preserve"> is used to lauch the INPUT and AFUE sheets</t>
    </r>
  </si>
  <si>
    <r>
      <t xml:space="preserve">The button of </t>
    </r>
    <r>
      <rPr>
        <b/>
        <u/>
        <sz val="11"/>
        <color rgb="FFFF0000"/>
        <rFont val="Calibri"/>
        <family val="2"/>
        <scheme val="minor"/>
      </rPr>
      <t>Reset</t>
    </r>
    <r>
      <rPr>
        <sz val="11"/>
        <color theme="1"/>
        <rFont val="Calibri"/>
        <family val="2"/>
        <scheme val="minor"/>
      </rPr>
      <t xml:space="preserve"> is used to reset the INPUT and AFUE sheets</t>
    </r>
  </si>
  <si>
    <t>4. Find AFUE and other data at the appropriate AFUE sheet for the selected furnace</t>
  </si>
  <si>
    <t>Tel: 865-341-1339</t>
  </si>
  <si>
    <t>3. Implementation of data at the appropriate input sheet for the selected furnace</t>
  </si>
  <si>
    <t>The data need to implement at the locations of User inputs</t>
  </si>
  <si>
    <r>
      <t xml:space="preserve">Modification of detailed furnace scenario selection at User inputs @ </t>
    </r>
    <r>
      <rPr>
        <b/>
        <u/>
        <sz val="11"/>
        <color rgb="FFFF0000"/>
        <rFont val="Calibri"/>
        <family val="2"/>
        <scheme val="minor"/>
      </rPr>
      <t>G21-G60</t>
    </r>
  </si>
  <si>
    <t>Bottom surface group area</t>
  </si>
  <si>
    <t>Bottom surface Temperature</t>
  </si>
  <si>
    <t>Pilot Light</t>
  </si>
  <si>
    <t>Atmospheric Burner</t>
  </si>
  <si>
    <t>The Excel tool is developed by Zhiming Gao based on the document of Method of Testing for Annual Fuel Utilization Efficiency of Residential Central Furnaces and Boilers</t>
  </si>
  <si>
    <t>(steady-state stack gas temperature)</t>
  </si>
  <si>
    <t xml:space="preserve"> (steady-state flue gas temperature)</t>
  </si>
  <si>
    <r>
      <t>Stack gas temperature (T</t>
    </r>
    <r>
      <rPr>
        <b/>
        <vertAlign val="subscript"/>
        <sz val="10"/>
        <color theme="1"/>
        <rFont val="Calibri"/>
        <family val="2"/>
        <scheme val="minor"/>
      </rPr>
      <t>S,SS,X</t>
    </r>
    <r>
      <rPr>
        <b/>
        <sz val="10"/>
        <color theme="1"/>
        <rFont val="Calibri"/>
        <family val="2"/>
        <scheme val="minor"/>
      </rPr>
      <t>)@maximum heating mode</t>
    </r>
  </si>
  <si>
    <r>
      <t>Stack gas temperature (T</t>
    </r>
    <r>
      <rPr>
        <vertAlign val="subscript"/>
        <sz val="10"/>
        <color rgb="FFFF0000"/>
        <rFont val="Calibri"/>
        <family val="2"/>
        <scheme val="minor"/>
      </rPr>
      <t>S,SS,X</t>
    </r>
    <r>
      <rPr>
        <sz val="10"/>
        <color rgb="FFFF0000"/>
        <rFont val="Calibri"/>
        <family val="2"/>
        <scheme val="minor"/>
      </rPr>
      <t>)@reduced heating mode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</si>
</sst>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000000"/>
    <numFmt numFmtId="166" formatCode="0.0000000E+00"/>
    <numFmt numFmtId="167" formatCode="0.000"/>
    <numFmt numFmtId="168" formatCode="0.0000"/>
    <numFmt numFmtId="169" formatCode="0.0000000000"/>
  </numFmts>
  <fonts count="80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ingdings 3"/>
      <family val="5"/>
      <charset val="2"/>
    </font>
    <font>
      <u/>
      <sz val="11"/>
      <color theme="1"/>
      <name val="Wingdings 3"/>
      <family val="5"/>
      <charset val="2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vertAlign val="subscript"/>
      <sz val="10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b/>
      <u/>
      <sz val="1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perscript"/>
      <sz val="9"/>
      <color theme="1"/>
      <name val="Calibri"/>
      <family val="2"/>
      <scheme val="minor"/>
    </font>
    <font>
      <vertAlign val="subscript"/>
      <sz val="9"/>
      <color theme="1"/>
      <name val="Calibri"/>
      <family val="2"/>
      <scheme val="minor"/>
    </font>
    <font>
      <sz val="9"/>
      <color theme="1"/>
      <name val="Calibri"/>
      <family val="2"/>
    </font>
    <font>
      <vertAlign val="subscript"/>
      <sz val="9"/>
      <color theme="1"/>
      <name val="Calibri"/>
      <family val="2"/>
    </font>
    <font>
      <sz val="9"/>
      <color theme="1"/>
      <name val="Symbol"/>
      <family val="1"/>
      <charset val="2"/>
    </font>
    <font>
      <sz val="9"/>
      <color theme="1"/>
      <name val="Calibri"/>
      <family val="1"/>
      <charset val="2"/>
      <scheme val="minor"/>
    </font>
    <font>
      <sz val="9"/>
      <color theme="1"/>
      <name val="Wingdings 3"/>
      <family val="1"/>
      <charset val="2"/>
    </font>
    <font>
      <vertAlign val="subscript"/>
      <sz val="9"/>
      <color theme="1"/>
      <name val="Symbol"/>
      <family val="1"/>
      <charset val="2"/>
    </font>
    <font>
      <b/>
      <u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vertAlign val="subscript"/>
      <sz val="9"/>
      <color theme="1"/>
      <name val="Calibri"/>
      <family val="2"/>
      <scheme val="minor"/>
    </font>
    <font>
      <sz val="9.6999999999999993"/>
      <color theme="1"/>
      <name val="Calibri"/>
      <family val="2"/>
    </font>
    <font>
      <vertAlign val="subscript"/>
      <sz val="9"/>
      <color rgb="FFFF0000"/>
      <name val="Calibri"/>
      <family val="2"/>
      <scheme val="minor"/>
    </font>
    <font>
      <sz val="9"/>
      <color rgb="FFFF0000"/>
      <name val="Calibri"/>
      <family val="2"/>
    </font>
    <font>
      <vertAlign val="subscript"/>
      <sz val="9"/>
      <name val="Calibri"/>
      <family val="2"/>
      <scheme val="minor"/>
    </font>
    <font>
      <sz val="9"/>
      <name val="Calibri"/>
      <family val="2"/>
    </font>
    <font>
      <sz val="9"/>
      <color rgb="FFFF0000"/>
      <name val="Symbol"/>
      <family val="1"/>
      <charset val="2"/>
    </font>
    <font>
      <sz val="9.6999999999999993"/>
      <color rgb="FFFF0000"/>
      <name val="Calibri"/>
      <family val="2"/>
    </font>
    <font>
      <sz val="9"/>
      <color rgb="FFFF0000"/>
      <name val="Calibri"/>
      <family val="1"/>
      <charset val="2"/>
      <scheme val="minor"/>
    </font>
    <font>
      <vertAlign val="subscript"/>
      <sz val="9"/>
      <color rgb="FFFF0000"/>
      <name val="Symbol"/>
      <family val="1"/>
      <charset val="2"/>
    </font>
    <font>
      <vertAlign val="subscript"/>
      <sz val="9"/>
      <color rgb="FFFF0000"/>
      <name val="Calibri"/>
      <family val="2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u/>
      <sz val="12"/>
      <color theme="1" tint="0.499984740745262"/>
      <name val="Calibri"/>
      <family val="2"/>
      <scheme val="minor"/>
    </font>
    <font>
      <b/>
      <u/>
      <sz val="10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vertAlign val="subscript"/>
      <sz val="10"/>
      <color theme="1" tint="0.499984740745262"/>
      <name val="Calibri"/>
      <family val="2"/>
      <scheme val="minor"/>
    </font>
    <font>
      <b/>
      <u/>
      <sz val="11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vertAlign val="subscript"/>
      <sz val="11"/>
      <color theme="1" tint="0.499984740745262"/>
      <name val="Calibri"/>
      <family val="2"/>
      <scheme val="minor"/>
    </font>
    <font>
      <sz val="11"/>
      <color theme="1" tint="0.499984740745262"/>
      <name val="Symbol"/>
      <family val="1"/>
      <charset val="2"/>
    </font>
    <font>
      <b/>
      <sz val="1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vertAlign val="subscript"/>
      <sz val="10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gradientFill type="path" left="0.5" right="0.5" top="0.5" bottom="0.5">
        <stop position="0">
          <color theme="0" tint="-0.1490218817712943"/>
        </stop>
        <stop position="1">
          <color theme="0" tint="-0.49803155613879818"/>
        </stop>
      </gradientFill>
    </fill>
    <fill>
      <gradientFill type="path" left="0.5" right="0.5" top="0.5" bottom="0.5">
        <stop position="0">
          <color theme="0" tint="-5.0965910824915313E-2"/>
        </stop>
        <stop position="1">
          <color theme="0" tint="-0.49803155613879818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94">
    <xf numFmtId="0" fontId="0" fillId="0" borderId="0" xfId="0"/>
    <xf numFmtId="0" fontId="0" fillId="0" borderId="0" xfId="0" applyAlignment="1">
      <alignment horizontal="left"/>
    </xf>
    <xf numFmtId="0" fontId="0" fillId="3" borderId="0" xfId="0" applyFill="1"/>
    <xf numFmtId="0" fontId="0" fillId="3" borderId="5" xfId="0" applyFill="1" applyBorder="1"/>
    <xf numFmtId="0" fontId="5" fillId="3" borderId="0" xfId="0" applyFont="1" applyFill="1" applyAlignment="1">
      <alignment horizontal="right"/>
    </xf>
    <xf numFmtId="0" fontId="1" fillId="0" borderId="0" xfId="0" applyFont="1"/>
    <xf numFmtId="0" fontId="0" fillId="0" borderId="0" xfId="0" applyAlignment="1">
      <alignment horizontal="right"/>
    </xf>
    <xf numFmtId="0" fontId="6" fillId="0" borderId="0" xfId="0" applyFont="1" applyAlignment="1">
      <alignment horizontal="right"/>
    </xf>
    <xf numFmtId="0" fontId="0" fillId="3" borderId="0" xfId="0" applyFill="1" applyAlignment="1">
      <alignment horizontal="right"/>
    </xf>
    <xf numFmtId="0" fontId="9" fillId="3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right"/>
    </xf>
    <xf numFmtId="0" fontId="11" fillId="3" borderId="0" xfId="0" applyFont="1" applyFill="1" applyAlignment="1">
      <alignment horizontal="right"/>
    </xf>
    <xf numFmtId="0" fontId="12" fillId="3" borderId="0" xfId="0" applyFont="1" applyFill="1" applyAlignment="1">
      <alignment horizontal="right"/>
    </xf>
    <xf numFmtId="0" fontId="9" fillId="3" borderId="1" xfId="0" applyFont="1" applyFill="1" applyBorder="1" applyAlignment="1">
      <alignment horizontal="center"/>
    </xf>
    <xf numFmtId="0" fontId="9" fillId="3" borderId="0" xfId="0" applyFont="1" applyFill="1"/>
    <xf numFmtId="0" fontId="3" fillId="3" borderId="0" xfId="0" applyFont="1" applyFill="1" applyAlignment="1">
      <alignment horizontal="center" vertical="center"/>
    </xf>
    <xf numFmtId="164" fontId="0" fillId="0" borderId="0" xfId="0" applyNumberFormat="1"/>
    <xf numFmtId="2" fontId="0" fillId="0" borderId="0" xfId="0" applyNumberFormat="1"/>
    <xf numFmtId="0" fontId="20" fillId="3" borderId="0" xfId="0" applyFont="1" applyFill="1" applyAlignment="1">
      <alignment horizontal="right"/>
    </xf>
    <xf numFmtId="0" fontId="13" fillId="3" borderId="0" xfId="0" applyFont="1" applyFill="1"/>
    <xf numFmtId="0" fontId="7" fillId="3" borderId="3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7" borderId="11" xfId="0" applyFill="1" applyBorder="1"/>
    <xf numFmtId="0" fontId="0" fillId="7" borderId="1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0" xfId="0" applyFill="1"/>
    <xf numFmtId="0" fontId="8" fillId="4" borderId="0" xfId="0" applyFont="1" applyFill="1"/>
    <xf numFmtId="0" fontId="2" fillId="4" borderId="2" xfId="0" applyFont="1" applyFill="1" applyBorder="1" applyAlignment="1">
      <alignment horizontal="left"/>
    </xf>
    <xf numFmtId="0" fontId="0" fillId="4" borderId="8" xfId="0" applyFill="1" applyBorder="1"/>
    <xf numFmtId="0" fontId="0" fillId="4" borderId="9" xfId="0" applyFill="1" applyBorder="1"/>
    <xf numFmtId="0" fontId="8" fillId="4" borderId="3" xfId="0" applyFont="1" applyFill="1" applyBorder="1" applyAlignment="1">
      <alignment horizontal="left"/>
    </xf>
    <xf numFmtId="0" fontId="0" fillId="4" borderId="4" xfId="0" applyFill="1" applyBorder="1"/>
    <xf numFmtId="0" fontId="0" fillId="4" borderId="5" xfId="0" applyFill="1" applyBorder="1"/>
    <xf numFmtId="0" fontId="8" fillId="4" borderId="7" xfId="0" applyFont="1" applyFill="1" applyBorder="1" applyAlignment="1">
      <alignment horizontal="left"/>
    </xf>
    <xf numFmtId="0" fontId="0" fillId="4" borderId="6" xfId="0" applyFill="1" applyBorder="1"/>
    <xf numFmtId="0" fontId="0" fillId="4" borderId="10" xfId="0" applyFill="1" applyBorder="1"/>
    <xf numFmtId="0" fontId="2" fillId="4" borderId="3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18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2" fillId="4" borderId="0" xfId="0" applyFont="1" applyFill="1" applyAlignment="1">
      <alignment horizontal="left"/>
    </xf>
    <xf numFmtId="0" fontId="2" fillId="3" borderId="0" xfId="0" applyFont="1" applyFill="1" applyAlignment="1">
      <alignment horizontal="right"/>
    </xf>
    <xf numFmtId="0" fontId="10" fillId="3" borderId="0" xfId="0" applyFont="1" applyFill="1"/>
    <xf numFmtId="0" fontId="21" fillId="3" borderId="0" xfId="0" applyFont="1" applyFill="1"/>
    <xf numFmtId="0" fontId="4" fillId="3" borderId="0" xfId="0" applyFont="1" applyFill="1" applyAlignment="1">
      <alignment horizontal="center" vertical="center"/>
    </xf>
    <xf numFmtId="0" fontId="9" fillId="0" borderId="1" xfId="0" applyFont="1" applyBorder="1"/>
    <xf numFmtId="0" fontId="5" fillId="0" borderId="0" xfId="0" applyFont="1" applyAlignment="1">
      <alignment horizontal="right"/>
    </xf>
    <xf numFmtId="0" fontId="0" fillId="4" borderId="3" xfId="0" applyFill="1" applyBorder="1"/>
    <xf numFmtId="0" fontId="14" fillId="4" borderId="4" xfId="0" applyFont="1" applyFill="1" applyBorder="1"/>
    <xf numFmtId="0" fontId="16" fillId="4" borderId="4" xfId="0" applyFont="1" applyFill="1" applyBorder="1"/>
    <xf numFmtId="0" fontId="16" fillId="4" borderId="5" xfId="0" applyFont="1" applyFill="1" applyBorder="1" applyAlignment="1">
      <alignment horizontal="right"/>
    </xf>
    <xf numFmtId="0" fontId="15" fillId="4" borderId="5" xfId="0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9" fillId="3" borderId="0" xfId="0" applyFont="1" applyFill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7" xfId="0" applyFill="1" applyBorder="1"/>
    <xf numFmtId="0" fontId="22" fillId="3" borderId="0" xfId="0" applyFont="1" applyFill="1" applyAlignment="1">
      <alignment horizontal="right"/>
    </xf>
    <xf numFmtId="0" fontId="24" fillId="3" borderId="0" xfId="0" applyFont="1" applyFill="1"/>
    <xf numFmtId="0" fontId="24" fillId="3" borderId="18" xfId="0" applyFont="1" applyFill="1" applyBorder="1"/>
    <xf numFmtId="0" fontId="9" fillId="3" borderId="0" xfId="0" applyFont="1" applyFill="1" applyAlignment="1">
      <alignment horizontal="center"/>
    </xf>
    <xf numFmtId="0" fontId="9" fillId="3" borderId="18" xfId="0" applyFont="1" applyFill="1" applyBorder="1" applyAlignment="1">
      <alignment horizontal="center"/>
    </xf>
    <xf numFmtId="0" fontId="0" fillId="3" borderId="14" xfId="0" applyFill="1" applyBorder="1"/>
    <xf numFmtId="0" fontId="0" fillId="3" borderId="15" xfId="0" applyFill="1" applyBorder="1"/>
    <xf numFmtId="0" fontId="0" fillId="3" borderId="15" xfId="0" applyFill="1" applyBorder="1" applyAlignment="1">
      <alignment horizontal="right"/>
    </xf>
    <xf numFmtId="0" fontId="0" fillId="3" borderId="16" xfId="0" applyFill="1" applyBorder="1"/>
    <xf numFmtId="0" fontId="0" fillId="3" borderId="12" xfId="0" applyFill="1" applyBorder="1" applyAlignment="1">
      <alignment horizontal="right"/>
    </xf>
    <xf numFmtId="0" fontId="28" fillId="3" borderId="12" xfId="0" applyFont="1" applyFill="1" applyBorder="1" applyAlignment="1">
      <alignment horizontal="right"/>
    </xf>
    <xf numFmtId="0" fontId="8" fillId="3" borderId="0" xfId="0" applyFont="1" applyFill="1" applyAlignment="1">
      <alignment horizontal="right"/>
    </xf>
    <xf numFmtId="0" fontId="23" fillId="3" borderId="0" xfId="0" applyFont="1" applyFill="1" applyAlignment="1">
      <alignment horizontal="right"/>
    </xf>
    <xf numFmtId="0" fontId="0" fillId="3" borderId="18" xfId="0" applyFill="1" applyBorder="1"/>
    <xf numFmtId="0" fontId="26" fillId="3" borderId="0" xfId="0" applyFont="1" applyFill="1" applyAlignment="1">
      <alignment horizontal="right"/>
    </xf>
    <xf numFmtId="0" fontId="7" fillId="3" borderId="0" xfId="0" applyFont="1" applyFill="1" applyAlignment="1">
      <alignment horizontal="right"/>
    </xf>
    <xf numFmtId="0" fontId="1" fillId="3" borderId="0" xfId="0" applyFont="1" applyFill="1"/>
    <xf numFmtId="0" fontId="7" fillId="3" borderId="15" xfId="0" applyFont="1" applyFill="1" applyBorder="1" applyAlignment="1">
      <alignment horizontal="right"/>
    </xf>
    <xf numFmtId="0" fontId="29" fillId="3" borderId="0" xfId="0" applyFont="1" applyFill="1" applyAlignment="1">
      <alignment horizontal="right"/>
    </xf>
    <xf numFmtId="0" fontId="23" fillId="3" borderId="18" xfId="0" applyFont="1" applyFill="1" applyBorder="1" applyAlignment="1">
      <alignment horizontal="right"/>
    </xf>
    <xf numFmtId="0" fontId="9" fillId="3" borderId="18" xfId="0" applyFont="1" applyFill="1" applyBorder="1" applyAlignment="1">
      <alignment horizontal="center" vertical="center"/>
    </xf>
    <xf numFmtId="0" fontId="28" fillId="3" borderId="0" xfId="0" applyFont="1" applyFill="1" applyAlignment="1">
      <alignment horizontal="right"/>
    </xf>
    <xf numFmtId="0" fontId="30" fillId="3" borderId="0" xfId="0" applyFont="1" applyFill="1" applyAlignment="1">
      <alignment horizontal="right"/>
    </xf>
    <xf numFmtId="0" fontId="31" fillId="3" borderId="12" xfId="0" applyFont="1" applyFill="1" applyBorder="1" applyAlignment="1">
      <alignment horizontal="right"/>
    </xf>
    <xf numFmtId="0" fontId="32" fillId="2" borderId="19" xfId="0" applyFont="1" applyFill="1" applyBorder="1" applyAlignment="1">
      <alignment horizontal="left"/>
    </xf>
    <xf numFmtId="0" fontId="32" fillId="2" borderId="20" xfId="0" applyFont="1" applyFill="1" applyBorder="1" applyAlignment="1">
      <alignment horizontal="left"/>
    </xf>
    <xf numFmtId="0" fontId="32" fillId="2" borderId="21" xfId="0" applyFont="1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7" fillId="3" borderId="0" xfId="0" applyFont="1" applyFill="1"/>
    <xf numFmtId="0" fontId="32" fillId="2" borderId="19" xfId="0" applyFont="1" applyFill="1" applyBorder="1"/>
    <xf numFmtId="0" fontId="0" fillId="2" borderId="20" xfId="0" applyFill="1" applyBorder="1"/>
    <xf numFmtId="0" fontId="7" fillId="2" borderId="20" xfId="0" applyFont="1" applyFill="1" applyBorder="1" applyAlignment="1">
      <alignment horizontal="right"/>
    </xf>
    <xf numFmtId="0" fontId="0" fillId="2" borderId="21" xfId="0" applyFill="1" applyBorder="1"/>
    <xf numFmtId="0" fontId="32" fillId="8" borderId="19" xfId="0" applyFont="1" applyFill="1" applyBorder="1" applyAlignment="1">
      <alignment horizontal="left"/>
    </xf>
    <xf numFmtId="0" fontId="19" fillId="8" borderId="20" xfId="0" applyFont="1" applyFill="1" applyBorder="1"/>
    <xf numFmtId="0" fontId="19" fillId="8" borderId="21" xfId="0" applyFont="1" applyFill="1" applyBorder="1"/>
    <xf numFmtId="0" fontId="5" fillId="3" borderId="12" xfId="0" applyFont="1" applyFill="1" applyBorder="1" applyAlignment="1">
      <alignment horizontal="right"/>
    </xf>
    <xf numFmtId="0" fontId="10" fillId="3" borderId="12" xfId="0" applyFont="1" applyFill="1" applyBorder="1" applyAlignment="1">
      <alignment horizontal="right"/>
    </xf>
    <xf numFmtId="0" fontId="33" fillId="3" borderId="0" xfId="0" applyFont="1" applyFill="1" applyAlignment="1">
      <alignment horizontal="right"/>
    </xf>
    <xf numFmtId="0" fontId="7" fillId="3" borderId="15" xfId="0" applyFont="1" applyFill="1" applyBorder="1"/>
    <xf numFmtId="0" fontId="9" fillId="0" borderId="0" xfId="0" applyFont="1"/>
    <xf numFmtId="0" fontId="0" fillId="3" borderId="1" xfId="0" applyFill="1" applyBorder="1" applyAlignment="1">
      <alignment horizontal="left"/>
    </xf>
    <xf numFmtId="166" fontId="0" fillId="3" borderId="1" xfId="0" applyNumberFormat="1" applyFill="1" applyBorder="1"/>
    <xf numFmtId="11" fontId="0" fillId="3" borderId="1" xfId="0" applyNumberFormat="1" applyFill="1" applyBorder="1"/>
    <xf numFmtId="0" fontId="0" fillId="3" borderId="1" xfId="0" applyFill="1" applyBorder="1" applyAlignment="1">
      <alignment horizontal="center"/>
    </xf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 applyAlignment="1">
      <alignment horizontal="left"/>
    </xf>
    <xf numFmtId="11" fontId="0" fillId="3" borderId="26" xfId="0" applyNumberFormat="1" applyFill="1" applyBorder="1"/>
    <xf numFmtId="0" fontId="0" fillId="3" borderId="27" xfId="0" applyFill="1" applyBorder="1"/>
    <xf numFmtId="166" fontId="0" fillId="3" borderId="28" xfId="0" applyNumberFormat="1" applyFill="1" applyBorder="1"/>
    <xf numFmtId="0" fontId="0" fillId="0" borderId="29" xfId="0" applyBorder="1"/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27" xfId="0" applyBorder="1"/>
    <xf numFmtId="0" fontId="0" fillId="0" borderId="28" xfId="0" applyBorder="1"/>
    <xf numFmtId="0" fontId="0" fillId="0" borderId="32" xfId="0" applyBorder="1"/>
    <xf numFmtId="0" fontId="0" fillId="3" borderId="17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164" fontId="1" fillId="3" borderId="25" xfId="0" applyNumberFormat="1" applyFont="1" applyFill="1" applyBorder="1" applyAlignment="1">
      <alignment horizontal="center"/>
    </xf>
    <xf numFmtId="0" fontId="9" fillId="3" borderId="1" xfId="0" applyFont="1" applyFill="1" applyBorder="1"/>
    <xf numFmtId="0" fontId="9" fillId="3" borderId="18" xfId="0" applyFont="1" applyFill="1" applyBorder="1"/>
    <xf numFmtId="0" fontId="26" fillId="3" borderId="18" xfId="0" applyFont="1" applyFill="1" applyBorder="1" applyAlignment="1">
      <alignment horizontal="right"/>
    </xf>
    <xf numFmtId="0" fontId="26" fillId="3" borderId="18" xfId="0" applyFont="1" applyFill="1" applyBorder="1"/>
    <xf numFmtId="0" fontId="1" fillId="3" borderId="17" xfId="0" applyFont="1" applyFill="1" applyBorder="1"/>
    <xf numFmtId="0" fontId="9" fillId="3" borderId="18" xfId="0" applyFont="1" applyFill="1" applyBorder="1" applyAlignment="1">
      <alignment horizontal="left" vertical="center"/>
    </xf>
    <xf numFmtId="0" fontId="26" fillId="3" borderId="18" xfId="0" applyFont="1" applyFill="1" applyBorder="1" applyAlignment="1">
      <alignment horizontal="left"/>
    </xf>
    <xf numFmtId="0" fontId="9" fillId="3" borderId="18" xfId="0" applyFont="1" applyFill="1" applyBorder="1" applyAlignment="1">
      <alignment horizontal="left"/>
    </xf>
    <xf numFmtId="0" fontId="14" fillId="3" borderId="0" xfId="0" applyFont="1" applyFill="1" applyAlignment="1">
      <alignment horizontal="center"/>
    </xf>
    <xf numFmtId="0" fontId="0" fillId="8" borderId="19" xfId="0" applyFill="1" applyBorder="1"/>
    <xf numFmtId="0" fontId="0" fillId="8" borderId="20" xfId="0" applyFill="1" applyBorder="1"/>
    <xf numFmtId="0" fontId="35" fillId="3" borderId="0" xfId="0" applyFont="1" applyFill="1" applyAlignment="1">
      <alignment horizontal="right"/>
    </xf>
    <xf numFmtId="0" fontId="9" fillId="3" borderId="1" xfId="0" applyFont="1" applyFill="1" applyBorder="1" applyAlignment="1">
      <alignment horizontal="right"/>
    </xf>
    <xf numFmtId="164" fontId="9" fillId="8" borderId="1" xfId="0" applyNumberFormat="1" applyFont="1" applyFill="1" applyBorder="1"/>
    <xf numFmtId="0" fontId="9" fillId="3" borderId="6" xfId="0" applyFont="1" applyFill="1" applyBorder="1" applyAlignment="1">
      <alignment horizontal="center"/>
    </xf>
    <xf numFmtId="0" fontId="9" fillId="3" borderId="6" xfId="0" applyFont="1" applyFill="1" applyBorder="1"/>
    <xf numFmtId="164" fontId="9" fillId="3" borderId="36" xfId="0" applyNumberFormat="1" applyFont="1" applyFill="1" applyBorder="1"/>
    <xf numFmtId="0" fontId="9" fillId="3" borderId="36" xfId="0" applyFont="1" applyFill="1" applyBorder="1"/>
    <xf numFmtId="164" fontId="9" fillId="8" borderId="36" xfId="0" applyNumberFormat="1" applyFont="1" applyFill="1" applyBorder="1"/>
    <xf numFmtId="167" fontId="9" fillId="3" borderId="36" xfId="0" applyNumberFormat="1" applyFont="1" applyFill="1" applyBorder="1"/>
    <xf numFmtId="167" fontId="9" fillId="3" borderId="0" xfId="0" applyNumberFormat="1" applyFont="1" applyFill="1"/>
    <xf numFmtId="0" fontId="41" fillId="3" borderId="0" xfId="0" applyFont="1" applyFill="1"/>
    <xf numFmtId="2" fontId="9" fillId="3" borderId="36" xfId="0" applyNumberFormat="1" applyFont="1" applyFill="1" applyBorder="1"/>
    <xf numFmtId="167" fontId="26" fillId="3" borderId="0" xfId="0" applyNumberFormat="1" applyFont="1" applyFill="1" applyAlignment="1">
      <alignment horizontal="center"/>
    </xf>
    <xf numFmtId="0" fontId="8" fillId="8" borderId="20" xfId="0" applyFont="1" applyFill="1" applyBorder="1" applyAlignment="1">
      <alignment horizontal="right"/>
    </xf>
    <xf numFmtId="0" fontId="9" fillId="3" borderId="11" xfId="0" applyFont="1" applyFill="1" applyBorder="1"/>
    <xf numFmtId="0" fontId="9" fillId="3" borderId="12" xfId="0" applyFont="1" applyFill="1" applyBorder="1"/>
    <xf numFmtId="0" fontId="9" fillId="3" borderId="13" xfId="0" applyFont="1" applyFill="1" applyBorder="1"/>
    <xf numFmtId="0" fontId="9" fillId="3" borderId="17" xfId="0" applyFont="1" applyFill="1" applyBorder="1"/>
    <xf numFmtId="0" fontId="44" fillId="3" borderId="0" xfId="0" applyFont="1" applyFill="1" applyAlignment="1">
      <alignment horizontal="right"/>
    </xf>
    <xf numFmtId="0" fontId="45" fillId="3" borderId="0" xfId="0" applyFont="1" applyFill="1"/>
    <xf numFmtId="0" fontId="9" fillId="3" borderId="14" xfId="0" applyFont="1" applyFill="1" applyBorder="1"/>
    <xf numFmtId="0" fontId="9" fillId="3" borderId="15" xfId="0" applyFont="1" applyFill="1" applyBorder="1"/>
    <xf numFmtId="0" fontId="9" fillId="3" borderId="15" xfId="0" applyFont="1" applyFill="1" applyBorder="1" applyAlignment="1">
      <alignment horizontal="right"/>
    </xf>
    <xf numFmtId="0" fontId="9" fillId="3" borderId="16" xfId="0" applyFont="1" applyFill="1" applyBorder="1"/>
    <xf numFmtId="0" fontId="6" fillId="3" borderId="33" xfId="0" applyFont="1" applyFill="1" applyBorder="1"/>
    <xf numFmtId="0" fontId="6" fillId="3" borderId="8" xfId="0" applyFont="1" applyFill="1" applyBorder="1"/>
    <xf numFmtId="0" fontId="6" fillId="3" borderId="9" xfId="0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0" xfId="0" applyFont="1" applyFill="1"/>
    <xf numFmtId="0" fontId="6" fillId="3" borderId="7" xfId="0" applyFont="1" applyFill="1" applyBorder="1"/>
    <xf numFmtId="0" fontId="6" fillId="3" borderId="6" xfId="0" applyFont="1" applyFill="1" applyBorder="1"/>
    <xf numFmtId="0" fontId="6" fillId="3" borderId="10" xfId="0" applyFont="1" applyFill="1" applyBorder="1"/>
    <xf numFmtId="0" fontId="8" fillId="8" borderId="21" xfId="0" applyFont="1" applyFill="1" applyBorder="1" applyAlignment="1">
      <alignment horizontal="right"/>
    </xf>
    <xf numFmtId="0" fontId="0" fillId="8" borderId="21" xfId="0" applyFill="1" applyBorder="1"/>
    <xf numFmtId="0" fontId="0" fillId="0" borderId="1" xfId="0" applyBorder="1"/>
    <xf numFmtId="0" fontId="0" fillId="3" borderId="1" xfId="0" applyFill="1" applyBorder="1"/>
    <xf numFmtId="0" fontId="32" fillId="8" borderId="20" xfId="0" applyFont="1" applyFill="1" applyBorder="1" applyAlignment="1">
      <alignment horizontal="right"/>
    </xf>
    <xf numFmtId="168" fontId="9" fillId="3" borderId="36" xfId="0" applyNumberFormat="1" applyFont="1" applyFill="1" applyBorder="1"/>
    <xf numFmtId="164" fontId="9" fillId="8" borderId="36" xfId="0" applyNumberFormat="1" applyFont="1" applyFill="1" applyBorder="1" applyAlignment="1">
      <alignment horizontal="right"/>
    </xf>
    <xf numFmtId="0" fontId="3" fillId="3" borderId="0" xfId="0" applyFont="1" applyFill="1"/>
    <xf numFmtId="0" fontId="9" fillId="3" borderId="8" xfId="0" applyFont="1" applyFill="1" applyBorder="1" applyAlignment="1">
      <alignment horizontal="right"/>
    </xf>
    <xf numFmtId="0" fontId="9" fillId="3" borderId="8" xfId="0" applyFont="1" applyFill="1" applyBorder="1"/>
    <xf numFmtId="167" fontId="9" fillId="3" borderId="8" xfId="0" applyNumberFormat="1" applyFont="1" applyFill="1" applyBorder="1"/>
    <xf numFmtId="0" fontId="38" fillId="3" borderId="9" xfId="0" applyFont="1" applyFill="1" applyBorder="1" applyAlignment="1">
      <alignment horizontal="right"/>
    </xf>
    <xf numFmtId="2" fontId="9" fillId="3" borderId="1" xfId="0" applyNumberFormat="1" applyFont="1" applyFill="1" applyBorder="1"/>
    <xf numFmtId="0" fontId="9" fillId="3" borderId="33" xfId="0" applyFont="1" applyFill="1" applyBorder="1"/>
    <xf numFmtId="0" fontId="46" fillId="3" borderId="0" xfId="0" applyFont="1" applyFill="1" applyAlignment="1">
      <alignment horizontal="right"/>
    </xf>
    <xf numFmtId="0" fontId="1" fillId="3" borderId="0" xfId="0" applyFont="1" applyFill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164" fontId="0" fillId="3" borderId="18" xfId="0" applyNumberFormat="1" applyFill="1" applyBorder="1"/>
    <xf numFmtId="0" fontId="1" fillId="3" borderId="18" xfId="0" applyFont="1" applyFill="1" applyBorder="1"/>
    <xf numFmtId="0" fontId="1" fillId="3" borderId="0" xfId="0" applyFont="1" applyFill="1" applyAlignment="1">
      <alignment horizontal="right"/>
    </xf>
    <xf numFmtId="0" fontId="26" fillId="3" borderId="1" xfId="0" applyFont="1" applyFill="1" applyBorder="1" applyAlignment="1">
      <alignment horizontal="center"/>
    </xf>
    <xf numFmtId="0" fontId="33" fillId="3" borderId="1" xfId="0" applyFont="1" applyFill="1" applyBorder="1" applyAlignment="1">
      <alignment horizontal="center"/>
    </xf>
    <xf numFmtId="0" fontId="23" fillId="3" borderId="1" xfId="0" applyFont="1" applyFill="1" applyBorder="1" applyAlignment="1">
      <alignment horizontal="center"/>
    </xf>
    <xf numFmtId="0" fontId="7" fillId="3" borderId="12" xfId="0" applyFont="1" applyFill="1" applyBorder="1"/>
    <xf numFmtId="0" fontId="28" fillId="3" borderId="15" xfId="0" applyFont="1" applyFill="1" applyBorder="1" applyAlignment="1">
      <alignment horizontal="right"/>
    </xf>
    <xf numFmtId="0" fontId="1" fillId="3" borderId="15" xfId="0" applyFont="1" applyFill="1" applyBorder="1"/>
    <xf numFmtId="0" fontId="1" fillId="3" borderId="16" xfId="0" applyFont="1" applyFill="1" applyBorder="1"/>
    <xf numFmtId="0" fontId="33" fillId="3" borderId="0" xfId="0" applyFont="1" applyFill="1" applyAlignment="1">
      <alignment horizontal="center"/>
    </xf>
    <xf numFmtId="0" fontId="23" fillId="3" borderId="0" xfId="0" applyFont="1" applyFill="1" applyAlignment="1">
      <alignment horizontal="center"/>
    </xf>
    <xf numFmtId="0" fontId="26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164" fontId="9" fillId="3" borderId="1" xfId="0" applyNumberFormat="1" applyFont="1" applyFill="1" applyBorder="1"/>
    <xf numFmtId="167" fontId="9" fillId="3" borderId="1" xfId="0" applyNumberFormat="1" applyFont="1" applyFill="1" applyBorder="1"/>
    <xf numFmtId="167" fontId="9" fillId="3" borderId="1" xfId="0" applyNumberFormat="1" applyFont="1" applyFill="1" applyBorder="1" applyAlignment="1">
      <alignment horizontal="right"/>
    </xf>
    <xf numFmtId="168" fontId="9" fillId="3" borderId="1" xfId="0" applyNumberFormat="1" applyFont="1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14" fillId="3" borderId="0" xfId="0" applyFont="1" applyFill="1"/>
    <xf numFmtId="0" fontId="18" fillId="0" borderId="0" xfId="0" applyFont="1"/>
    <xf numFmtId="0" fontId="9" fillId="3" borderId="37" xfId="0" applyFont="1" applyFill="1" applyBorder="1"/>
    <xf numFmtId="0" fontId="9" fillId="3" borderId="17" xfId="0" applyFont="1" applyFill="1" applyBorder="1" applyAlignment="1">
      <alignment horizontal="right"/>
    </xf>
    <xf numFmtId="165" fontId="9" fillId="3" borderId="0" xfId="0" applyNumberFormat="1" applyFont="1" applyFill="1"/>
    <xf numFmtId="0" fontId="38" fillId="3" borderId="0" xfId="0" applyFont="1" applyFill="1" applyAlignment="1">
      <alignment horizontal="right"/>
    </xf>
    <xf numFmtId="0" fontId="41" fillId="3" borderId="17" xfId="0" applyFont="1" applyFill="1" applyBorder="1" applyAlignment="1">
      <alignment horizontal="right"/>
    </xf>
    <xf numFmtId="0" fontId="41" fillId="3" borderId="0" xfId="0" applyFont="1" applyFill="1" applyAlignment="1">
      <alignment horizontal="right"/>
    </xf>
    <xf numFmtId="0" fontId="9" fillId="3" borderId="38" xfId="0" applyFont="1" applyFill="1" applyBorder="1" applyAlignment="1">
      <alignment horizontal="right"/>
    </xf>
    <xf numFmtId="168" fontId="9" fillId="3" borderId="18" xfId="0" applyNumberFormat="1" applyFont="1" applyFill="1" applyBorder="1"/>
    <xf numFmtId="2" fontId="9" fillId="3" borderId="6" xfId="0" applyNumberFormat="1" applyFont="1" applyFill="1" applyBorder="1" applyAlignment="1">
      <alignment horizontal="center"/>
    </xf>
    <xf numFmtId="0" fontId="18" fillId="9" borderId="19" xfId="0" applyFont="1" applyFill="1" applyBorder="1"/>
    <xf numFmtId="0" fontId="18" fillId="9" borderId="20" xfId="0" applyFont="1" applyFill="1" applyBorder="1"/>
    <xf numFmtId="0" fontId="18" fillId="9" borderId="21" xfId="0" applyFont="1" applyFill="1" applyBorder="1"/>
    <xf numFmtId="167" fontId="9" fillId="9" borderId="20" xfId="0" applyNumberFormat="1" applyFont="1" applyFill="1" applyBorder="1"/>
    <xf numFmtId="0" fontId="9" fillId="9" borderId="20" xfId="0" applyFont="1" applyFill="1" applyBorder="1"/>
    <xf numFmtId="0" fontId="9" fillId="9" borderId="21" xfId="0" applyFont="1" applyFill="1" applyBorder="1"/>
    <xf numFmtId="0" fontId="9" fillId="9" borderId="11" xfId="0" applyFont="1" applyFill="1" applyBorder="1"/>
    <xf numFmtId="0" fontId="9" fillId="9" borderId="12" xfId="0" applyFont="1" applyFill="1" applyBorder="1"/>
    <xf numFmtId="0" fontId="9" fillId="9" borderId="13" xfId="0" applyFont="1" applyFill="1" applyBorder="1"/>
    <xf numFmtId="2" fontId="20" fillId="3" borderId="1" xfId="0" applyNumberFormat="1" applyFont="1" applyFill="1" applyBorder="1" applyAlignment="1">
      <alignment horizontal="center"/>
    </xf>
    <xf numFmtId="0" fontId="26" fillId="3" borderId="6" xfId="0" applyFont="1" applyFill="1" applyBorder="1"/>
    <xf numFmtId="167" fontId="26" fillId="3" borderId="36" xfId="0" applyNumberFormat="1" applyFont="1" applyFill="1" applyBorder="1"/>
    <xf numFmtId="0" fontId="26" fillId="3" borderId="0" xfId="0" applyFont="1" applyFill="1"/>
    <xf numFmtId="0" fontId="26" fillId="3" borderId="36" xfId="0" applyFont="1" applyFill="1" applyBorder="1"/>
    <xf numFmtId="0" fontId="20" fillId="3" borderId="37" xfId="0" applyFont="1" applyFill="1" applyBorder="1"/>
    <xf numFmtId="0" fontId="20" fillId="3" borderId="6" xfId="0" applyFont="1" applyFill="1" applyBorder="1"/>
    <xf numFmtId="0" fontId="20" fillId="3" borderId="17" xfId="0" applyFont="1" applyFill="1" applyBorder="1" applyAlignment="1">
      <alignment horizontal="right"/>
    </xf>
    <xf numFmtId="167" fontId="20" fillId="3" borderId="36" xfId="0" applyNumberFormat="1" applyFont="1" applyFill="1" applyBorder="1"/>
    <xf numFmtId="0" fontId="9" fillId="3" borderId="0" xfId="0" applyFont="1" applyFill="1" applyAlignment="1">
      <alignment horizontal="left"/>
    </xf>
    <xf numFmtId="0" fontId="9" fillId="3" borderId="11" xfId="0" applyFont="1" applyFill="1" applyBorder="1" applyAlignment="1">
      <alignment horizontal="left"/>
    </xf>
    <xf numFmtId="0" fontId="9" fillId="3" borderId="12" xfId="0" applyFont="1" applyFill="1" applyBorder="1" applyAlignment="1">
      <alignment horizontal="center"/>
    </xf>
    <xf numFmtId="0" fontId="9" fillId="0" borderId="18" xfId="0" applyFont="1" applyBorder="1"/>
    <xf numFmtId="0" fontId="9" fillId="0" borderId="17" xfId="0" applyFont="1" applyBorder="1"/>
    <xf numFmtId="0" fontId="9" fillId="3" borderId="15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164" fontId="9" fillId="3" borderId="1" xfId="0" applyNumberFormat="1" applyFont="1" applyFill="1" applyBorder="1" applyAlignment="1">
      <alignment horizontal="right"/>
    </xf>
    <xf numFmtId="0" fontId="0" fillId="0" borderId="12" xfId="0" applyBorder="1"/>
    <xf numFmtId="0" fontId="23" fillId="3" borderId="13" xfId="0" applyFont="1" applyFill="1" applyBorder="1" applyAlignment="1">
      <alignment horizontal="right"/>
    </xf>
    <xf numFmtId="0" fontId="8" fillId="3" borderId="12" xfId="0" applyFont="1" applyFill="1" applyBorder="1" applyAlignment="1">
      <alignment horizontal="right"/>
    </xf>
    <xf numFmtId="0" fontId="20" fillId="3" borderId="36" xfId="0" applyFont="1" applyFill="1" applyBorder="1"/>
    <xf numFmtId="0" fontId="20" fillId="3" borderId="0" xfId="0" applyFont="1" applyFill="1"/>
    <xf numFmtId="0" fontId="18" fillId="8" borderId="19" xfId="0" applyFont="1" applyFill="1" applyBorder="1"/>
    <xf numFmtId="0" fontId="9" fillId="8" borderId="20" xfId="0" applyFont="1" applyFill="1" applyBorder="1"/>
    <xf numFmtId="0" fontId="9" fillId="8" borderId="20" xfId="0" applyFont="1" applyFill="1" applyBorder="1" applyAlignment="1">
      <alignment horizontal="right"/>
    </xf>
    <xf numFmtId="0" fontId="9" fillId="8" borderId="21" xfId="0" applyFont="1" applyFill="1" applyBorder="1"/>
    <xf numFmtId="164" fontId="26" fillId="3" borderId="36" xfId="0" applyNumberFormat="1" applyFont="1" applyFill="1" applyBorder="1"/>
    <xf numFmtId="0" fontId="26" fillId="3" borderId="37" xfId="0" applyFont="1" applyFill="1" applyBorder="1"/>
    <xf numFmtId="0" fontId="55" fillId="3" borderId="17" xfId="0" applyFont="1" applyFill="1" applyBorder="1" applyAlignment="1">
      <alignment horizontal="right"/>
    </xf>
    <xf numFmtId="0" fontId="55" fillId="3" borderId="0" xfId="0" applyFont="1" applyFill="1" applyAlignment="1">
      <alignment horizontal="right"/>
    </xf>
    <xf numFmtId="2" fontId="9" fillId="3" borderId="0" xfId="0" applyNumberFormat="1" applyFont="1" applyFill="1"/>
    <xf numFmtId="164" fontId="9" fillId="3" borderId="0" xfId="0" applyNumberFormat="1" applyFont="1" applyFill="1"/>
    <xf numFmtId="164" fontId="26" fillId="3" borderId="1" xfId="0" applyNumberFormat="1" applyFont="1" applyFill="1" applyBorder="1"/>
    <xf numFmtId="164" fontId="26" fillId="8" borderId="36" xfId="0" applyNumberFormat="1" applyFont="1" applyFill="1" applyBorder="1" applyAlignment="1">
      <alignment horizontal="right"/>
    </xf>
    <xf numFmtId="164" fontId="9" fillId="3" borderId="6" xfId="0" applyNumberFormat="1" applyFont="1" applyFill="1" applyBorder="1"/>
    <xf numFmtId="0" fontId="9" fillId="3" borderId="6" xfId="0" applyFont="1" applyFill="1" applyBorder="1" applyAlignment="1">
      <alignment horizontal="left"/>
    </xf>
    <xf numFmtId="0" fontId="9" fillId="0" borderId="6" xfId="0" applyFont="1" applyBorder="1"/>
    <xf numFmtId="164" fontId="20" fillId="3" borderId="1" xfId="0" applyNumberFormat="1" applyFont="1" applyFill="1" applyBorder="1"/>
    <xf numFmtId="0" fontId="50" fillId="3" borderId="9" xfId="0" applyFont="1" applyFill="1" applyBorder="1" applyAlignment="1">
      <alignment horizontal="right"/>
    </xf>
    <xf numFmtId="2" fontId="26" fillId="3" borderId="1" xfId="0" applyNumberFormat="1" applyFont="1" applyFill="1" applyBorder="1"/>
    <xf numFmtId="0" fontId="26" fillId="3" borderId="33" xfId="0" applyFont="1" applyFill="1" applyBorder="1"/>
    <xf numFmtId="0" fontId="26" fillId="3" borderId="8" xfId="0" applyFont="1" applyFill="1" applyBorder="1" applyAlignment="1">
      <alignment horizontal="right"/>
    </xf>
    <xf numFmtId="0" fontId="50" fillId="3" borderId="0" xfId="0" applyFont="1" applyFill="1" applyAlignment="1">
      <alignment horizontal="right"/>
    </xf>
    <xf numFmtId="167" fontId="9" fillId="0" borderId="36" xfId="0" applyNumberFormat="1" applyFont="1" applyBorder="1"/>
    <xf numFmtId="167" fontId="26" fillId="3" borderId="1" xfId="0" applyNumberFormat="1" applyFont="1" applyFill="1" applyBorder="1"/>
    <xf numFmtId="165" fontId="26" fillId="3" borderId="0" xfId="0" applyNumberFormat="1" applyFont="1" applyFill="1"/>
    <xf numFmtId="0" fontId="26" fillId="3" borderId="1" xfId="0" applyFont="1" applyFill="1" applyBorder="1"/>
    <xf numFmtId="167" fontId="9" fillId="3" borderId="1" xfId="0" applyNumberFormat="1" applyFont="1" applyFill="1" applyBorder="1" applyAlignment="1">
      <alignment horizontal="center"/>
    </xf>
    <xf numFmtId="167" fontId="9" fillId="8" borderId="1" xfId="0" applyNumberFormat="1" applyFont="1" applyFill="1" applyBorder="1" applyAlignment="1">
      <alignment horizontal="center" vertical="center"/>
    </xf>
    <xf numFmtId="0" fontId="52" fillId="3" borderId="9" xfId="0" applyFont="1" applyFill="1" applyBorder="1" applyAlignment="1">
      <alignment horizontal="right"/>
    </xf>
    <xf numFmtId="2" fontId="20" fillId="3" borderId="1" xfId="0" applyNumberFormat="1" applyFont="1" applyFill="1" applyBorder="1"/>
    <xf numFmtId="0" fontId="20" fillId="3" borderId="33" xfId="0" applyFont="1" applyFill="1" applyBorder="1"/>
    <xf numFmtId="0" fontId="20" fillId="3" borderId="8" xfId="0" applyFont="1" applyFill="1" applyBorder="1" applyAlignment="1">
      <alignment horizontal="right"/>
    </xf>
    <xf numFmtId="0" fontId="52" fillId="3" borderId="0" xfId="0" applyFont="1" applyFill="1" applyAlignment="1">
      <alignment horizontal="right"/>
    </xf>
    <xf numFmtId="2" fontId="20" fillId="3" borderId="0" xfId="0" applyNumberFormat="1" applyFont="1" applyFill="1"/>
    <xf numFmtId="167" fontId="20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horizontal="center"/>
    </xf>
    <xf numFmtId="0" fontId="26" fillId="3" borderId="0" xfId="0" applyFont="1" applyFill="1" applyAlignment="1">
      <alignment horizontal="center" vertical="center"/>
    </xf>
    <xf numFmtId="0" fontId="59" fillId="10" borderId="0" xfId="0" applyFont="1" applyFill="1"/>
    <xf numFmtId="0" fontId="61" fillId="10" borderId="0" xfId="0" applyFont="1" applyFill="1" applyAlignment="1">
      <alignment horizontal="right"/>
    </xf>
    <xf numFmtId="0" fontId="62" fillId="10" borderId="0" xfId="0" applyFont="1" applyFill="1" applyAlignment="1">
      <alignment horizontal="right"/>
    </xf>
    <xf numFmtId="0" fontId="63" fillId="10" borderId="0" xfId="0" applyFont="1" applyFill="1" applyAlignment="1">
      <alignment horizontal="right"/>
    </xf>
    <xf numFmtId="0" fontId="63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horizontal="right"/>
    </xf>
    <xf numFmtId="0" fontId="63" fillId="10" borderId="0" xfId="0" applyFont="1" applyFill="1" applyAlignment="1">
      <alignment horizontal="center"/>
    </xf>
    <xf numFmtId="0" fontId="63" fillId="10" borderId="0" xfId="0" applyFont="1" applyFill="1"/>
    <xf numFmtId="0" fontId="63" fillId="10" borderId="0" xfId="0" applyFont="1" applyFill="1" applyAlignment="1">
      <alignment horizontal="left" vertical="center"/>
    </xf>
    <xf numFmtId="0" fontId="63" fillId="10" borderId="0" xfId="0" applyFont="1" applyFill="1" applyAlignment="1">
      <alignment horizontal="left"/>
    </xf>
    <xf numFmtId="0" fontId="62" fillId="10" borderId="0" xfId="0" applyFont="1" applyFill="1"/>
    <xf numFmtId="0" fontId="59" fillId="10" borderId="0" xfId="0" applyFont="1" applyFill="1" applyAlignment="1">
      <alignment horizontal="right"/>
    </xf>
    <xf numFmtId="164" fontId="0" fillId="3" borderId="0" xfId="0" applyNumberFormat="1" applyFill="1"/>
    <xf numFmtId="0" fontId="0" fillId="2" borderId="12" xfId="0" applyFill="1" applyBorder="1"/>
    <xf numFmtId="0" fontId="0" fillId="2" borderId="13" xfId="0" applyFill="1" applyBorder="1"/>
    <xf numFmtId="0" fontId="65" fillId="10" borderId="0" xfId="0" applyFont="1" applyFill="1" applyAlignment="1">
      <alignment horizontal="right"/>
    </xf>
    <xf numFmtId="0" fontId="59" fillId="10" borderId="0" xfId="0" applyFont="1" applyFill="1" applyAlignment="1">
      <alignment horizontal="center"/>
    </xf>
    <xf numFmtId="164" fontId="59" fillId="10" borderId="0" xfId="0" applyNumberFormat="1" applyFont="1" applyFill="1" applyAlignment="1">
      <alignment horizontal="center"/>
    </xf>
    <xf numFmtId="0" fontId="62" fillId="10" borderId="0" xfId="0" applyFont="1" applyFill="1" applyAlignment="1">
      <alignment horizontal="center"/>
    </xf>
    <xf numFmtId="0" fontId="19" fillId="8" borderId="12" xfId="0" applyFont="1" applyFill="1" applyBorder="1"/>
    <xf numFmtId="0" fontId="19" fillId="8" borderId="13" xfId="0" applyFont="1" applyFill="1" applyBorder="1"/>
    <xf numFmtId="0" fontId="66" fillId="10" borderId="0" xfId="0" applyFont="1" applyFill="1" applyAlignment="1">
      <alignment horizontal="right"/>
    </xf>
    <xf numFmtId="0" fontId="68" fillId="10" borderId="0" xfId="0" applyFont="1" applyFill="1" applyAlignment="1">
      <alignment horizontal="right"/>
    </xf>
    <xf numFmtId="164" fontId="63" fillId="10" borderId="0" xfId="0" applyNumberFormat="1" applyFont="1" applyFill="1"/>
    <xf numFmtId="0" fontId="32" fillId="2" borderId="12" xfId="0" applyFont="1" applyFill="1" applyBorder="1" applyAlignment="1">
      <alignment horizontal="left"/>
    </xf>
    <xf numFmtId="0" fontId="32" fillId="2" borderId="13" xfId="0" applyFont="1" applyFill="1" applyBorder="1" applyAlignment="1">
      <alignment horizontal="left"/>
    </xf>
    <xf numFmtId="0" fontId="58" fillId="3" borderId="0" xfId="0" applyFont="1" applyFill="1"/>
    <xf numFmtId="0" fontId="70" fillId="3" borderId="0" xfId="0" applyFont="1" applyFill="1" applyAlignment="1">
      <alignment horizontal="right"/>
    </xf>
    <xf numFmtId="0" fontId="71" fillId="3" borderId="0" xfId="0" applyFont="1" applyFill="1" applyAlignment="1">
      <alignment horizontal="right"/>
    </xf>
    <xf numFmtId="0" fontId="72" fillId="3" borderId="0" xfId="0" applyFont="1" applyFill="1" applyAlignment="1">
      <alignment horizontal="right"/>
    </xf>
    <xf numFmtId="0" fontId="73" fillId="3" borderId="0" xfId="0" applyFont="1" applyFill="1" applyAlignment="1">
      <alignment horizontal="right"/>
    </xf>
    <xf numFmtId="0" fontId="73" fillId="3" borderId="0" xfId="0" applyFont="1" applyFill="1" applyAlignment="1">
      <alignment horizontal="center"/>
    </xf>
    <xf numFmtId="0" fontId="73" fillId="3" borderId="0" xfId="0" applyFont="1" applyFill="1" applyAlignment="1">
      <alignment horizontal="center" vertical="center"/>
    </xf>
    <xf numFmtId="0" fontId="69" fillId="2" borderId="20" xfId="0" applyFont="1" applyFill="1" applyBorder="1" applyAlignment="1">
      <alignment horizontal="left"/>
    </xf>
    <xf numFmtId="0" fontId="69" fillId="2" borderId="21" xfId="0" applyFont="1" applyFill="1" applyBorder="1" applyAlignment="1">
      <alignment horizontal="left"/>
    </xf>
    <xf numFmtId="0" fontId="58" fillId="3" borderId="18" xfId="0" applyFont="1" applyFill="1" applyBorder="1"/>
    <xf numFmtId="0" fontId="72" fillId="3" borderId="18" xfId="0" applyFont="1" applyFill="1" applyBorder="1" applyAlignment="1">
      <alignment horizontal="right"/>
    </xf>
    <xf numFmtId="0" fontId="73" fillId="3" borderId="18" xfId="0" applyFont="1" applyFill="1" applyBorder="1" applyAlignment="1">
      <alignment horizontal="center"/>
    </xf>
    <xf numFmtId="0" fontId="73" fillId="3" borderId="18" xfId="0" applyFont="1" applyFill="1" applyBorder="1"/>
    <xf numFmtId="0" fontId="73" fillId="3" borderId="18" xfId="0" applyFont="1" applyFill="1" applyBorder="1" applyAlignment="1">
      <alignment horizontal="right"/>
    </xf>
    <xf numFmtId="0" fontId="73" fillId="3" borderId="18" xfId="0" applyFont="1" applyFill="1" applyBorder="1" applyAlignment="1">
      <alignment horizontal="left" vertical="center"/>
    </xf>
    <xf numFmtId="0" fontId="73" fillId="3" borderId="18" xfId="0" applyFont="1" applyFill="1" applyBorder="1" applyAlignment="1">
      <alignment horizontal="left"/>
    </xf>
    <xf numFmtId="0" fontId="73" fillId="3" borderId="18" xfId="0" applyFont="1" applyFill="1" applyBorder="1" applyAlignment="1">
      <alignment horizontal="center" vertical="center"/>
    </xf>
    <xf numFmtId="0" fontId="71" fillId="3" borderId="18" xfId="0" applyFont="1" applyFill="1" applyBorder="1" applyAlignment="1">
      <alignment horizontal="right"/>
    </xf>
    <xf numFmtId="0" fontId="58" fillId="3" borderId="15" xfId="0" applyFont="1" applyFill="1" applyBorder="1"/>
    <xf numFmtId="0" fontId="58" fillId="3" borderId="16" xfId="0" applyFont="1" applyFill="1" applyBorder="1"/>
    <xf numFmtId="0" fontId="58" fillId="3" borderId="0" xfId="0" applyFont="1" applyFill="1" applyAlignment="1">
      <alignment horizontal="center"/>
    </xf>
    <xf numFmtId="0" fontId="72" fillId="3" borderId="0" xfId="0" applyFont="1" applyFill="1"/>
    <xf numFmtId="0" fontId="58" fillId="3" borderId="0" xfId="0" applyFont="1" applyFill="1" applyAlignment="1">
      <alignment horizontal="right"/>
    </xf>
    <xf numFmtId="164" fontId="58" fillId="3" borderId="0" xfId="0" applyNumberFormat="1" applyFont="1" applyFill="1" applyAlignment="1">
      <alignment horizontal="center"/>
    </xf>
    <xf numFmtId="0" fontId="58" fillId="3" borderId="12" xfId="0" applyFont="1" applyFill="1" applyBorder="1"/>
    <xf numFmtId="0" fontId="75" fillId="3" borderId="12" xfId="0" applyFont="1" applyFill="1" applyBorder="1" applyAlignment="1">
      <alignment horizontal="right"/>
    </xf>
    <xf numFmtId="0" fontId="58" fillId="3" borderId="13" xfId="0" applyFont="1" applyFill="1" applyBorder="1"/>
    <xf numFmtId="0" fontId="72" fillId="3" borderId="15" xfId="0" applyFont="1" applyFill="1" applyBorder="1"/>
    <xf numFmtId="0" fontId="72" fillId="3" borderId="0" xfId="0" applyFont="1" applyFill="1" applyAlignment="1">
      <alignment horizontal="center"/>
    </xf>
    <xf numFmtId="0" fontId="72" fillId="3" borderId="12" xfId="0" applyFont="1" applyFill="1" applyBorder="1"/>
    <xf numFmtId="0" fontId="76" fillId="3" borderId="0" xfId="0" applyFont="1" applyFill="1" applyAlignment="1">
      <alignment horizontal="right"/>
    </xf>
    <xf numFmtId="0" fontId="76" fillId="3" borderId="12" xfId="0" applyFont="1" applyFill="1" applyBorder="1" applyAlignment="1">
      <alignment horizontal="right"/>
    </xf>
    <xf numFmtId="0" fontId="72" fillId="3" borderId="13" xfId="0" applyFont="1" applyFill="1" applyBorder="1" applyAlignment="1">
      <alignment horizontal="right"/>
    </xf>
    <xf numFmtId="9" fontId="9" fillId="3" borderId="1" xfId="0" applyNumberFormat="1" applyFont="1" applyFill="1" applyBorder="1"/>
    <xf numFmtId="164" fontId="9" fillId="3" borderId="6" xfId="0" applyNumberFormat="1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left"/>
    </xf>
    <xf numFmtId="0" fontId="9" fillId="3" borderId="14" xfId="0" applyFont="1" applyFill="1" applyBorder="1" applyAlignment="1">
      <alignment horizontal="left"/>
    </xf>
    <xf numFmtId="167" fontId="9" fillId="3" borderId="15" xfId="0" applyNumberFormat="1" applyFont="1" applyFill="1" applyBorder="1" applyAlignment="1">
      <alignment horizontal="center"/>
    </xf>
    <xf numFmtId="167" fontId="9" fillId="3" borderId="4" xfId="0" applyNumberFormat="1" applyFont="1" applyFill="1" applyBorder="1" applyAlignment="1">
      <alignment horizontal="center"/>
    </xf>
    <xf numFmtId="0" fontId="9" fillId="3" borderId="15" xfId="0" applyFont="1" applyFill="1" applyBorder="1" applyAlignment="1">
      <alignment horizontal="left"/>
    </xf>
    <xf numFmtId="164" fontId="9" fillId="3" borderId="4" xfId="0" applyNumberFormat="1" applyFont="1" applyFill="1" applyBorder="1" applyAlignment="1">
      <alignment horizontal="center"/>
    </xf>
    <xf numFmtId="164" fontId="9" fillId="3" borderId="15" xfId="0" applyNumberFormat="1" applyFont="1" applyFill="1" applyBorder="1" applyAlignment="1">
      <alignment horizontal="center"/>
    </xf>
    <xf numFmtId="0" fontId="9" fillId="0" borderId="12" xfId="0" applyFont="1" applyBorder="1"/>
    <xf numFmtId="2" fontId="9" fillId="3" borderId="1" xfId="0" applyNumberFormat="1" applyFont="1" applyFill="1" applyBorder="1" applyAlignment="1">
      <alignment horizontal="center"/>
    </xf>
    <xf numFmtId="2" fontId="9" fillId="8" borderId="1" xfId="0" applyNumberFormat="1" applyFont="1" applyFill="1" applyBorder="1" applyAlignment="1">
      <alignment horizontal="center" vertical="center"/>
    </xf>
    <xf numFmtId="2" fontId="9" fillId="3" borderId="4" xfId="0" applyNumberFormat="1" applyFont="1" applyFill="1" applyBorder="1" applyAlignment="1">
      <alignment horizontal="center"/>
    </xf>
    <xf numFmtId="0" fontId="24" fillId="3" borderId="0" xfId="0" applyFont="1" applyFill="1" applyAlignment="1">
      <alignment horizontal="right"/>
    </xf>
    <xf numFmtId="2" fontId="9" fillId="3" borderId="15" xfId="0" applyNumberFormat="1" applyFont="1" applyFill="1" applyBorder="1" applyAlignment="1">
      <alignment horizontal="center"/>
    </xf>
    <xf numFmtId="2" fontId="9" fillId="0" borderId="6" xfId="0" applyNumberFormat="1" applyFont="1" applyBorder="1" applyAlignment="1">
      <alignment horizontal="center"/>
    </xf>
    <xf numFmtId="0" fontId="18" fillId="3" borderId="0" xfId="0" applyFont="1" applyFill="1" applyAlignment="1">
      <alignment horizontal="right"/>
    </xf>
    <xf numFmtId="0" fontId="0" fillId="0" borderId="18" xfId="0" applyBorder="1"/>
    <xf numFmtId="0" fontId="26" fillId="0" borderId="0" xfId="0" applyFont="1" applyAlignment="1">
      <alignment horizontal="right"/>
    </xf>
    <xf numFmtId="2" fontId="9" fillId="8" borderId="1" xfId="0" applyNumberFormat="1" applyFont="1" applyFill="1" applyBorder="1"/>
    <xf numFmtId="2" fontId="9" fillId="3" borderId="0" xfId="0" applyNumberFormat="1" applyFont="1" applyFill="1" applyAlignment="1">
      <alignment horizontal="center"/>
    </xf>
    <xf numFmtId="0" fontId="32" fillId="3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/>
    </xf>
    <xf numFmtId="164" fontId="9" fillId="11" borderId="1" xfId="0" applyNumberFormat="1" applyFont="1" applyFill="1" applyBorder="1"/>
    <xf numFmtId="168" fontId="9" fillId="11" borderId="1" xfId="0" applyNumberFormat="1" applyFont="1" applyFill="1" applyBorder="1"/>
    <xf numFmtId="167" fontId="9" fillId="12" borderId="1" xfId="0" applyNumberFormat="1" applyFont="1" applyFill="1" applyBorder="1"/>
    <xf numFmtId="169" fontId="9" fillId="3" borderId="0" xfId="0" applyNumberFormat="1" applyFont="1" applyFill="1"/>
    <xf numFmtId="0" fontId="6" fillId="3" borderId="0" xfId="0" applyFont="1" applyFill="1" applyAlignment="1">
      <alignment horizontal="left" vertical="top" wrapText="1"/>
    </xf>
    <xf numFmtId="0" fontId="2" fillId="3" borderId="12" xfId="0" applyFont="1" applyFill="1" applyBorder="1" applyAlignment="1"/>
    <xf numFmtId="0" fontId="0" fillId="3" borderId="12" xfId="0" applyFill="1" applyBorder="1" applyAlignment="1"/>
    <xf numFmtId="0" fontId="0" fillId="2" borderId="19" xfId="0" applyFill="1" applyBorder="1"/>
    <xf numFmtId="0" fontId="0" fillId="3" borderId="0" xfId="0" applyFill="1" applyBorder="1"/>
    <xf numFmtId="0" fontId="7" fillId="3" borderId="0" xfId="0" applyFont="1" applyFill="1" applyBorder="1"/>
    <xf numFmtId="0" fontId="46" fillId="3" borderId="0" xfId="0" applyFont="1" applyFill="1" applyBorder="1" applyAlignment="1">
      <alignment horizontal="right"/>
    </xf>
    <xf numFmtId="0" fontId="1" fillId="3" borderId="0" xfId="0" applyFont="1" applyFill="1" applyBorder="1" applyAlignment="1">
      <alignment horizontal="center"/>
    </xf>
    <xf numFmtId="0" fontId="1" fillId="3" borderId="0" xfId="0" applyFont="1" applyFill="1" applyBorder="1"/>
    <xf numFmtId="0" fontId="23" fillId="3" borderId="0" xfId="0" applyFont="1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1" fillId="3" borderId="0" xfId="0" applyFont="1" applyFill="1" applyBorder="1" applyAlignment="1">
      <alignment horizontal="right"/>
    </xf>
    <xf numFmtId="0" fontId="33" fillId="3" borderId="0" xfId="0" applyFont="1" applyFill="1" applyBorder="1" applyAlignment="1">
      <alignment horizontal="center"/>
    </xf>
    <xf numFmtId="0" fontId="23" fillId="3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428626</xdr:colOff>
      <xdr:row>4</xdr:row>
      <xdr:rowOff>152400</xdr:rowOff>
    </xdr:from>
    <xdr:to>
      <xdr:col>25</xdr:col>
      <xdr:colOff>108469</xdr:colOff>
      <xdr:row>34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576" y="342900"/>
          <a:ext cx="7174960" cy="569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3</xdr:row>
          <xdr:rowOff>0</xdr:rowOff>
        </xdr:from>
        <xdr:to>
          <xdr:col>10</xdr:col>
          <xdr:colOff>57150</xdr:colOff>
          <xdr:row>4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3</xdr:row>
          <xdr:rowOff>0</xdr:rowOff>
        </xdr:from>
        <xdr:to>
          <xdr:col>11</xdr:col>
          <xdr:colOff>171450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585789</xdr:colOff>
      <xdr:row>0</xdr:row>
      <xdr:rowOff>0</xdr:rowOff>
    </xdr:from>
    <xdr:to>
      <xdr:col>23</xdr:col>
      <xdr:colOff>840922</xdr:colOff>
      <xdr:row>34</xdr:row>
      <xdr:rowOff>94778</xdr:rowOff>
    </xdr:to>
    <xdr:pic>
      <xdr:nvPicPr>
        <xdr:cNvPr id="2" name="Picture 1" descr="Related imag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77364" y="0"/>
          <a:ext cx="5738812" cy="6600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105833</xdr:colOff>
      <xdr:row>2</xdr:row>
      <xdr:rowOff>0</xdr:rowOff>
    </xdr:from>
    <xdr:to>
      <xdr:col>18</xdr:col>
      <xdr:colOff>463474</xdr:colOff>
      <xdr:row>15</xdr:row>
      <xdr:rowOff>30805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2092" t="12892" r="13600"/>
        <a:stretch/>
      </xdr:blipFill>
      <xdr:spPr>
        <a:xfrm>
          <a:off x="10230555" y="317500"/>
          <a:ext cx="1574725" cy="20063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585789</xdr:colOff>
      <xdr:row>0</xdr:row>
      <xdr:rowOff>0</xdr:rowOff>
    </xdr:from>
    <xdr:to>
      <xdr:col>23</xdr:col>
      <xdr:colOff>840922</xdr:colOff>
      <xdr:row>34</xdr:row>
      <xdr:rowOff>94778</xdr:rowOff>
    </xdr:to>
    <xdr:pic>
      <xdr:nvPicPr>
        <xdr:cNvPr id="2" name="Picture 1" descr="Related imag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91664" y="0"/>
          <a:ext cx="5741533" cy="6600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202847</xdr:colOff>
      <xdr:row>1</xdr:row>
      <xdr:rowOff>127945</xdr:rowOff>
    </xdr:from>
    <xdr:to>
      <xdr:col>18</xdr:col>
      <xdr:colOff>560488</xdr:colOff>
      <xdr:row>15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2092" t="12892" r="13600"/>
        <a:stretch/>
      </xdr:blipFill>
      <xdr:spPr>
        <a:xfrm>
          <a:off x="10327569" y="286695"/>
          <a:ext cx="1574725" cy="2006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585789</xdr:colOff>
      <xdr:row>0</xdr:row>
      <xdr:rowOff>0</xdr:rowOff>
    </xdr:from>
    <xdr:to>
      <xdr:col>23</xdr:col>
      <xdr:colOff>840922</xdr:colOff>
      <xdr:row>34</xdr:row>
      <xdr:rowOff>94778</xdr:rowOff>
    </xdr:to>
    <xdr:pic>
      <xdr:nvPicPr>
        <xdr:cNvPr id="2" name="Picture 1" descr="Related imag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91664" y="0"/>
          <a:ext cx="5741533" cy="6600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88195</xdr:colOff>
      <xdr:row>1</xdr:row>
      <xdr:rowOff>132292</xdr:rowOff>
    </xdr:from>
    <xdr:to>
      <xdr:col>18</xdr:col>
      <xdr:colOff>445836</xdr:colOff>
      <xdr:row>15</xdr:row>
      <xdr:rowOff>4347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2092" t="12892" r="13600"/>
        <a:stretch/>
      </xdr:blipFill>
      <xdr:spPr>
        <a:xfrm>
          <a:off x="10212917" y="291042"/>
          <a:ext cx="1574725" cy="200636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585789</xdr:colOff>
      <xdr:row>0</xdr:row>
      <xdr:rowOff>0</xdr:rowOff>
    </xdr:from>
    <xdr:to>
      <xdr:col>23</xdr:col>
      <xdr:colOff>840922</xdr:colOff>
      <xdr:row>34</xdr:row>
      <xdr:rowOff>94778</xdr:rowOff>
    </xdr:to>
    <xdr:pic>
      <xdr:nvPicPr>
        <xdr:cNvPr id="2" name="Picture 1" descr="Related imag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91664" y="0"/>
          <a:ext cx="5741533" cy="6600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97014</xdr:colOff>
      <xdr:row>1</xdr:row>
      <xdr:rowOff>149931</xdr:rowOff>
    </xdr:from>
    <xdr:to>
      <xdr:col>18</xdr:col>
      <xdr:colOff>454656</xdr:colOff>
      <xdr:row>15</xdr:row>
      <xdr:rowOff>21986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2092" t="12892" r="13600"/>
        <a:stretch/>
      </xdr:blipFill>
      <xdr:spPr>
        <a:xfrm>
          <a:off x="10221736" y="308681"/>
          <a:ext cx="1574725" cy="200636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482427</xdr:colOff>
      <xdr:row>35</xdr:row>
      <xdr:rowOff>141656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2092" t="12892" r="13600"/>
        <a:stretch/>
      </xdr:blipFill>
      <xdr:spPr>
        <a:xfrm>
          <a:off x="0" y="0"/>
          <a:ext cx="5359227" cy="6828206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8A0AD-D1C9-4532-B2FF-4871B102593B}">
  <sheetPr codeName="Sheet1"/>
  <dimension ref="A1:AE241"/>
  <sheetViews>
    <sheetView zoomScale="90" zoomScaleNormal="90" workbookViewId="0">
      <selection activeCell="G6" sqref="G6"/>
    </sheetView>
  </sheetViews>
  <sheetFormatPr defaultRowHeight="15"/>
  <cols>
    <col min="6" max="6" width="8.85546875" customWidth="1"/>
    <col min="7" max="7" width="10.85546875" customWidth="1"/>
    <col min="8" max="8" width="3.28515625" customWidth="1"/>
    <col min="9" max="13" width="8.42578125" customWidth="1"/>
    <col min="14" max="14" width="11.85546875" customWidth="1"/>
    <col min="15" max="16" width="9.140625" style="2"/>
    <col min="27" max="27" width="15" bestFit="1" customWidth="1"/>
    <col min="29" max="29" width="10" customWidth="1"/>
  </cols>
  <sheetData>
    <row r="1" spans="1:31">
      <c r="A1" s="24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</row>
    <row r="2" spans="1:31" ht="15.75" thickBot="1">
      <c r="A2" s="26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</row>
    <row r="3" spans="1:3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</row>
    <row r="4" spans="1:31">
      <c r="A4" s="2"/>
      <c r="B4" s="2"/>
      <c r="C4" s="2"/>
      <c r="D4" s="2"/>
      <c r="E4" s="2"/>
      <c r="F4" s="4" t="s">
        <v>2</v>
      </c>
      <c r="G4" s="9" t="s">
        <v>4</v>
      </c>
      <c r="H4" s="22" t="s">
        <v>1</v>
      </c>
      <c r="I4" s="2"/>
      <c r="J4" s="2"/>
      <c r="K4" s="2"/>
      <c r="L4" s="2"/>
      <c r="M4" s="2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</row>
    <row r="5" spans="1:31">
      <c r="A5" s="2"/>
      <c r="B5" s="2"/>
      <c r="C5" s="2"/>
      <c r="D5" s="2"/>
      <c r="E5" s="2"/>
      <c r="F5" s="4" t="s">
        <v>24</v>
      </c>
      <c r="G5" s="10">
        <v>3</v>
      </c>
      <c r="H5" s="23" t="s">
        <v>1</v>
      </c>
      <c r="I5" s="2"/>
      <c r="J5" s="2"/>
      <c r="K5" s="2"/>
      <c r="L5" s="2"/>
      <c r="M5" s="2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</row>
    <row r="6" spans="1:31">
      <c r="A6" s="2"/>
      <c r="B6" s="2"/>
      <c r="C6" s="2"/>
      <c r="D6" s="2"/>
      <c r="E6" s="2"/>
      <c r="F6" s="49" t="s">
        <v>22</v>
      </c>
      <c r="G6" s="48" t="s">
        <v>36</v>
      </c>
      <c r="H6" s="23" t="s">
        <v>1</v>
      </c>
      <c r="I6" s="16"/>
      <c r="J6" s="16"/>
      <c r="K6" s="16"/>
      <c r="L6" s="16"/>
      <c r="M6" s="16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</row>
    <row r="7" spans="1:31">
      <c r="A7" s="2"/>
      <c r="B7" s="2"/>
      <c r="C7" s="2"/>
      <c r="D7" s="2"/>
      <c r="E7" s="2"/>
      <c r="F7" s="44" t="s">
        <v>23</v>
      </c>
      <c r="G7" s="45" t="str">
        <f>G4&amp;", "&amp;G6&amp;"NG Furnace"</f>
        <v>Condensing, Step-ModulatingNG Furnace</v>
      </c>
      <c r="H7" s="46"/>
      <c r="I7" s="47"/>
      <c r="J7" s="47"/>
      <c r="K7" s="47"/>
      <c r="L7" s="47"/>
      <c r="M7" s="16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</row>
    <row r="8" spans="1:31">
      <c r="A8" s="2"/>
      <c r="B8" s="2"/>
      <c r="C8" s="2"/>
      <c r="D8" s="2"/>
      <c r="E8" s="2"/>
      <c r="F8" s="2"/>
      <c r="G8" s="2"/>
      <c r="H8" s="2"/>
      <c r="I8" s="16"/>
      <c r="J8" s="16"/>
      <c r="K8" s="16"/>
      <c r="L8" s="16"/>
      <c r="M8" s="16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39" t="s">
        <v>0</v>
      </c>
      <c r="AB8" s="34"/>
      <c r="AC8" s="35"/>
      <c r="AD8" s="28"/>
      <c r="AE8" s="28"/>
    </row>
    <row r="9" spans="1:3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39">
        <v>1</v>
      </c>
      <c r="AB9" s="34">
        <v>3</v>
      </c>
      <c r="AC9" s="35"/>
      <c r="AD9" s="28"/>
      <c r="AE9" s="28"/>
    </row>
    <row r="10" spans="1:31">
      <c r="A10" s="2"/>
      <c r="B10" s="2"/>
      <c r="C10" s="2"/>
      <c r="D10" s="2"/>
      <c r="E10" s="2"/>
      <c r="F10" s="12" t="s">
        <v>6</v>
      </c>
      <c r="G10" s="21" t="str">
        <f>G23</f>
        <v>YES</v>
      </c>
      <c r="H10" s="3"/>
      <c r="I10" s="82" t="str">
        <f>IF(G11=G10,"Input Wrong","")</f>
        <v/>
      </c>
      <c r="J10" s="2"/>
      <c r="K10" s="2"/>
      <c r="L10" s="2"/>
      <c r="M10" s="2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39">
        <v>2</v>
      </c>
      <c r="AB10" s="34">
        <v>9</v>
      </c>
      <c r="AC10" s="35"/>
      <c r="AD10" s="28"/>
      <c r="AE10" s="28"/>
    </row>
    <row r="11" spans="1:31">
      <c r="A11" s="2"/>
      <c r="B11" s="2"/>
      <c r="C11" s="8"/>
      <c r="D11" s="2"/>
      <c r="E11" s="2"/>
      <c r="F11" s="12" t="s">
        <v>7</v>
      </c>
      <c r="G11" s="21" t="str">
        <f>G27</f>
        <v>NO</v>
      </c>
      <c r="H11" s="3"/>
      <c r="I11" s="82" t="str">
        <f>IF(G11=G10,"Input Wrong","")</f>
        <v/>
      </c>
      <c r="J11" s="2"/>
      <c r="K11" s="2"/>
      <c r="L11" s="2"/>
      <c r="M11" s="2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39">
        <v>3</v>
      </c>
      <c r="AB11" s="34">
        <v>10</v>
      </c>
      <c r="AC11" s="35"/>
      <c r="AD11" s="28"/>
      <c r="AE11" s="28"/>
    </row>
    <row r="12" spans="1:31">
      <c r="A12" s="2"/>
      <c r="B12" s="2"/>
      <c r="C12" s="2"/>
      <c r="D12" s="2"/>
      <c r="E12" s="2"/>
      <c r="F12" s="12" t="s">
        <v>8</v>
      </c>
      <c r="G12" s="21" t="str">
        <f>G31</f>
        <v>NO</v>
      </c>
      <c r="H12" s="3"/>
      <c r="I12" s="2"/>
      <c r="J12" s="2"/>
      <c r="K12" s="2"/>
      <c r="L12" s="2"/>
      <c r="M12" s="2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39">
        <v>4</v>
      </c>
      <c r="AB12" s="34"/>
      <c r="AC12" s="35"/>
      <c r="AD12" s="28"/>
      <c r="AE12" s="28"/>
    </row>
    <row r="13" spans="1:31">
      <c r="A13" s="2"/>
      <c r="B13" s="2"/>
      <c r="C13" s="2"/>
      <c r="D13" s="2"/>
      <c r="E13" s="2"/>
      <c r="F13" s="12" t="s">
        <v>9</v>
      </c>
      <c r="G13" s="21" t="str">
        <f>G35</f>
        <v>YES</v>
      </c>
      <c r="H13" s="3"/>
      <c r="I13" s="2"/>
      <c r="J13" s="2"/>
      <c r="K13" s="2"/>
      <c r="L13" s="2"/>
      <c r="M13" s="2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39">
        <v>5</v>
      </c>
      <c r="AB13" s="34"/>
      <c r="AC13" s="35"/>
      <c r="AD13" s="28"/>
      <c r="AE13" s="28"/>
    </row>
    <row r="14" spans="1:31">
      <c r="A14" s="2"/>
      <c r="B14" s="2"/>
      <c r="C14" s="2"/>
      <c r="D14" s="2"/>
      <c r="E14" s="2"/>
      <c r="F14" s="12" t="s">
        <v>10</v>
      </c>
      <c r="G14" s="21" t="str">
        <f>G39</f>
        <v>NO</v>
      </c>
      <c r="H14" s="3"/>
      <c r="I14" s="2"/>
      <c r="J14" s="2"/>
      <c r="K14" s="2"/>
      <c r="L14" s="2"/>
      <c r="M14" s="2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39">
        <v>6</v>
      </c>
      <c r="AB14" s="34"/>
      <c r="AC14" s="35"/>
      <c r="AD14" s="43"/>
      <c r="AE14" s="28"/>
    </row>
    <row r="15" spans="1:31">
      <c r="A15" s="2"/>
      <c r="B15" s="2"/>
      <c r="C15" s="2"/>
      <c r="D15" s="2"/>
      <c r="E15" s="2"/>
      <c r="F15" s="12" t="s">
        <v>11</v>
      </c>
      <c r="G15" s="21" t="str">
        <f>G43</f>
        <v>NO</v>
      </c>
      <c r="H15" s="3"/>
      <c r="I15" s="2"/>
      <c r="J15" s="2"/>
      <c r="K15" s="2"/>
      <c r="L15" s="2"/>
      <c r="M15" s="2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39">
        <v>8</v>
      </c>
      <c r="AB15" s="34"/>
      <c r="AC15" s="35"/>
      <c r="AD15" s="28"/>
      <c r="AE15" s="28"/>
    </row>
    <row r="16" spans="1:31">
      <c r="A16" s="2"/>
      <c r="B16" s="2"/>
      <c r="C16" s="2"/>
      <c r="D16" s="2"/>
      <c r="E16" s="2"/>
      <c r="F16" s="12" t="s">
        <v>12</v>
      </c>
      <c r="G16" s="21" t="str">
        <f>G47</f>
        <v>NO</v>
      </c>
      <c r="H16" s="3"/>
      <c r="I16" s="2" t="str">
        <f>IF(G16=G17,"Input Wrong","")</f>
        <v/>
      </c>
      <c r="J16" s="2"/>
      <c r="K16" s="2"/>
      <c r="L16" s="2"/>
      <c r="M16" s="2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39">
        <v>9</v>
      </c>
      <c r="AB16" s="34"/>
      <c r="AC16" s="35"/>
      <c r="AD16" s="28"/>
      <c r="AE16" s="28"/>
    </row>
    <row r="17" spans="1:31">
      <c r="A17" s="2"/>
      <c r="B17" s="2"/>
      <c r="C17" s="2"/>
      <c r="D17" s="2"/>
      <c r="E17" s="2"/>
      <c r="F17" s="12" t="s">
        <v>13</v>
      </c>
      <c r="G17" s="21" t="str">
        <f>G51</f>
        <v>YES</v>
      </c>
      <c r="H17" s="3"/>
      <c r="I17" s="2" t="str">
        <f>IF(G16=G17,"Input Wrong","")</f>
        <v/>
      </c>
      <c r="J17" s="2"/>
      <c r="K17" s="2"/>
      <c r="L17" s="2"/>
      <c r="M17" s="2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39">
        <v>10</v>
      </c>
      <c r="AB17" s="34"/>
      <c r="AC17" s="35"/>
      <c r="AD17" s="28"/>
      <c r="AE17" s="28"/>
    </row>
    <row r="18" spans="1:31">
      <c r="A18" s="2"/>
      <c r="B18" s="2"/>
      <c r="C18" s="2"/>
      <c r="D18" s="2"/>
      <c r="E18" s="2"/>
      <c r="F18" s="12" t="s">
        <v>14</v>
      </c>
      <c r="G18" s="21" t="str">
        <f>G55</f>
        <v>NO</v>
      </c>
      <c r="H18" s="3"/>
      <c r="I18" s="2"/>
      <c r="J18" s="2"/>
      <c r="K18" s="2"/>
      <c r="L18" s="2"/>
      <c r="M18" s="2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9"/>
      <c r="AB18" s="28"/>
      <c r="AC18" s="28"/>
      <c r="AD18" s="28"/>
      <c r="AE18" s="28"/>
    </row>
    <row r="19" spans="1:3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43"/>
      <c r="AE19" s="28"/>
    </row>
    <row r="20" spans="1:3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30" t="s">
        <v>3</v>
      </c>
      <c r="AB20" s="31"/>
      <c r="AC20" s="32"/>
      <c r="AD20" s="28"/>
      <c r="AE20" s="28"/>
    </row>
    <row r="21" spans="1:31">
      <c r="A21" s="2"/>
      <c r="B21" s="2"/>
      <c r="C21" s="2"/>
      <c r="D21" s="2"/>
      <c r="E21" s="2"/>
      <c r="F21" s="13" t="s">
        <v>6</v>
      </c>
      <c r="G21" s="2"/>
      <c r="H21" s="2"/>
      <c r="I21" s="2"/>
      <c r="J21" s="2"/>
      <c r="K21" s="2"/>
      <c r="L21" s="2"/>
      <c r="M21" s="2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33" t="s">
        <v>4</v>
      </c>
      <c r="AB21" s="34"/>
      <c r="AC21" s="35"/>
      <c r="AD21" s="28"/>
      <c r="AE21" s="28"/>
    </row>
    <row r="22" spans="1:31">
      <c r="A22" s="2"/>
      <c r="B22" s="2"/>
      <c r="C22" s="2"/>
      <c r="D22" s="2"/>
      <c r="E22" s="2"/>
      <c r="F22" s="11" t="s">
        <v>16</v>
      </c>
      <c r="G22" s="14"/>
      <c r="H22" s="15" t="s">
        <v>20</v>
      </c>
      <c r="I22" s="15"/>
      <c r="J22" s="15"/>
      <c r="K22" s="15"/>
      <c r="L22" s="15"/>
      <c r="M22" s="15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36" t="s">
        <v>5</v>
      </c>
      <c r="AB22" s="37"/>
      <c r="AC22" s="38"/>
      <c r="AD22" s="28"/>
      <c r="AE22" s="28"/>
    </row>
    <row r="23" spans="1:31">
      <c r="A23" s="2"/>
      <c r="B23" s="2"/>
      <c r="C23" s="2"/>
      <c r="D23" s="2"/>
      <c r="E23" s="2"/>
      <c r="F23" s="11" t="s">
        <v>15</v>
      </c>
      <c r="G23" s="61" t="str">
        <f>IF(OR(G22="YES", G22="NO"),G22,VLOOKUP(F21,$Q$44:$Z$52,IF($G$5&gt;6,$G$5,$G$5+1),FALSE))</f>
        <v>YES</v>
      </c>
      <c r="H23" s="15"/>
      <c r="I23" s="15"/>
      <c r="J23" s="15"/>
      <c r="K23" s="15"/>
      <c r="L23" s="15"/>
      <c r="M23" s="15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</row>
    <row r="24" spans="1:3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</row>
    <row r="25" spans="1:31">
      <c r="A25" s="2"/>
      <c r="B25" s="2"/>
      <c r="C25" s="2"/>
      <c r="D25" s="2"/>
      <c r="E25" s="2"/>
      <c r="F25" s="13" t="s">
        <v>7</v>
      </c>
      <c r="G25" s="2"/>
      <c r="H25" s="2"/>
      <c r="I25" s="2"/>
      <c r="J25" s="2"/>
      <c r="K25" s="2"/>
      <c r="L25" s="2"/>
      <c r="M25" s="2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39" t="s">
        <v>21</v>
      </c>
      <c r="AB25" s="34"/>
      <c r="AC25" s="35"/>
      <c r="AD25" s="28"/>
      <c r="AE25" s="28"/>
    </row>
    <row r="26" spans="1:31">
      <c r="A26" s="2"/>
      <c r="B26" s="214" t="str">
        <f>IF(G27="YES","Select outdoor or isolated combustion system","Don't need at current configuration")</f>
        <v>Don't need at current configuration</v>
      </c>
      <c r="C26" s="2"/>
      <c r="E26" s="2"/>
      <c r="F26" s="11" t="s">
        <v>16</v>
      </c>
      <c r="G26" s="14"/>
      <c r="H26" s="15" t="s">
        <v>20</v>
      </c>
      <c r="I26" s="15"/>
      <c r="J26" s="15"/>
      <c r="K26" s="15"/>
      <c r="L26" s="15"/>
      <c r="M26" s="15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36" t="s">
        <v>37</v>
      </c>
      <c r="AB26" s="37"/>
      <c r="AC26" s="38"/>
      <c r="AD26" s="28"/>
      <c r="AE26" s="28"/>
    </row>
    <row r="27" spans="1:31">
      <c r="A27" s="2"/>
      <c r="B27" s="130"/>
      <c r="C27" s="151" t="s">
        <v>215</v>
      </c>
      <c r="D27" s="2"/>
      <c r="E27" s="2"/>
      <c r="F27" s="11" t="s">
        <v>15</v>
      </c>
      <c r="G27" s="61" t="str">
        <f>IF(OR(G26="YES", G26="NO"),G26,VLOOKUP(F25,$Q$44:$Z$52,IF($G$5&gt;6,$G$5,$G$5+1),FALSE))</f>
        <v>NO</v>
      </c>
      <c r="H27" s="15"/>
      <c r="I27" s="15"/>
      <c r="J27" s="15"/>
      <c r="K27" s="15"/>
      <c r="L27" s="15"/>
      <c r="M27" s="15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36" t="s">
        <v>36</v>
      </c>
      <c r="AB27" s="37"/>
      <c r="AC27" s="38"/>
      <c r="AD27" s="28"/>
      <c r="AE27" s="28"/>
    </row>
    <row r="28" spans="1:31">
      <c r="A28" s="2"/>
      <c r="B28" s="214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36" t="s">
        <v>35</v>
      </c>
      <c r="AB28" s="37"/>
      <c r="AC28" s="38"/>
      <c r="AD28" s="28"/>
      <c r="AE28" s="28"/>
    </row>
    <row r="29" spans="1:31">
      <c r="A29" s="2"/>
      <c r="B29" s="2"/>
      <c r="C29" s="2"/>
      <c r="D29" s="2"/>
      <c r="E29" s="2"/>
      <c r="F29" s="13" t="s">
        <v>8</v>
      </c>
      <c r="G29" s="2"/>
      <c r="H29" s="2"/>
      <c r="I29" s="2"/>
      <c r="J29" s="2"/>
      <c r="K29" s="2"/>
      <c r="L29" s="2"/>
      <c r="M29" s="2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</row>
    <row r="30" spans="1:31">
      <c r="A30" s="2"/>
      <c r="B30" s="2"/>
      <c r="C30" s="2"/>
      <c r="D30" s="2"/>
      <c r="E30" s="2"/>
      <c r="F30" s="19" t="s">
        <v>16</v>
      </c>
      <c r="G30" s="14" t="s">
        <v>19</v>
      </c>
      <c r="H30" s="15" t="s">
        <v>20</v>
      </c>
      <c r="I30" s="15"/>
      <c r="J30" s="15"/>
      <c r="K30" s="15"/>
      <c r="L30" s="15"/>
      <c r="M30" s="15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</row>
    <row r="31" spans="1:31">
      <c r="A31" s="2"/>
      <c r="B31" s="2"/>
      <c r="C31" s="2"/>
      <c r="D31" s="2"/>
      <c r="E31" s="2"/>
      <c r="F31" s="19" t="s">
        <v>15</v>
      </c>
      <c r="G31" s="61" t="str">
        <f>IF(OR(G30="YES", G30="NO"),G30,VLOOKUP(F29,$Q$44:$Z$52,IF($G$5&gt;6,$G$5,$G$5+1),FALSE))</f>
        <v>NO</v>
      </c>
      <c r="H31" s="15"/>
      <c r="I31" s="15"/>
      <c r="J31" s="15"/>
      <c r="K31" s="15"/>
      <c r="L31" s="15"/>
      <c r="M31" s="15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39" t="s">
        <v>52</v>
      </c>
      <c r="AB31" s="34"/>
      <c r="AC31" s="35"/>
      <c r="AD31" s="28"/>
      <c r="AE31" s="28"/>
    </row>
    <row r="32" spans="1:31">
      <c r="A32" s="2"/>
      <c r="B32" s="2"/>
      <c r="C32" s="2"/>
      <c r="D32" s="2"/>
      <c r="E32" s="2"/>
      <c r="F32" s="20"/>
      <c r="G32" s="2"/>
      <c r="H32" s="2"/>
      <c r="I32" s="2"/>
      <c r="J32" s="2"/>
      <c r="K32" s="2"/>
      <c r="L32" s="2"/>
      <c r="M32" s="2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39" t="s">
        <v>18</v>
      </c>
      <c r="AB32" s="34"/>
      <c r="AC32" s="35"/>
      <c r="AD32" s="28"/>
      <c r="AE32" s="28"/>
    </row>
    <row r="33" spans="1:31">
      <c r="A33" s="2"/>
      <c r="B33" s="2"/>
      <c r="C33" s="2"/>
      <c r="D33" s="2"/>
      <c r="E33" s="2"/>
      <c r="F33" s="13" t="s">
        <v>9</v>
      </c>
      <c r="G33" s="2"/>
      <c r="H33" s="2"/>
      <c r="I33" s="2"/>
      <c r="J33" s="2"/>
      <c r="K33" s="2"/>
      <c r="L33" s="2"/>
      <c r="M33" s="2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39" t="s">
        <v>19</v>
      </c>
      <c r="AB33" s="34"/>
      <c r="AC33" s="35"/>
      <c r="AD33" s="28"/>
      <c r="AE33" s="28"/>
    </row>
    <row r="34" spans="1:31">
      <c r="A34" s="2"/>
      <c r="B34" s="2"/>
      <c r="C34" s="2"/>
      <c r="D34" s="2"/>
      <c r="E34" s="2"/>
      <c r="F34" s="19" t="s">
        <v>16</v>
      </c>
      <c r="G34" s="14" t="s">
        <v>18</v>
      </c>
      <c r="H34" s="15" t="s">
        <v>20</v>
      </c>
      <c r="I34" s="15"/>
      <c r="J34" s="15"/>
      <c r="K34" s="15"/>
      <c r="L34" s="15"/>
      <c r="M34" s="15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</row>
    <row r="35" spans="1:31">
      <c r="A35" s="2"/>
      <c r="B35" s="2"/>
      <c r="C35" s="2"/>
      <c r="D35" s="2"/>
      <c r="E35" s="2"/>
      <c r="F35" s="19" t="s">
        <v>15</v>
      </c>
      <c r="G35" s="61" t="str">
        <f>IF(OR(G34="YES", G34="NO"),G34,VLOOKUP(F33,$Q$44:$Z$52,IF($G$5&gt;6,$G$5,$G$5+1),FALSE))</f>
        <v>YES</v>
      </c>
      <c r="H35" s="15"/>
      <c r="I35" s="15"/>
      <c r="J35" s="15"/>
      <c r="K35" s="15"/>
      <c r="L35" s="15"/>
      <c r="M35" s="15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</row>
    <row r="36" spans="1:31">
      <c r="A36" s="2"/>
      <c r="B36" s="2"/>
      <c r="C36" s="2"/>
      <c r="D36" s="2"/>
      <c r="E36" s="2"/>
      <c r="F36" s="20"/>
      <c r="G36" s="2"/>
      <c r="H36" s="2"/>
      <c r="I36" s="2"/>
      <c r="J36" s="2"/>
      <c r="K36" s="2"/>
      <c r="L36" s="2"/>
      <c r="M36" s="2"/>
      <c r="N36" s="28"/>
      <c r="O36" s="28"/>
      <c r="P36" s="28"/>
      <c r="Q36" s="28"/>
      <c r="R36" s="28"/>
      <c r="S36" s="28"/>
      <c r="T36" s="28"/>
      <c r="U36" s="28"/>
      <c r="V36" s="28"/>
      <c r="W36" s="39" t="s">
        <v>213</v>
      </c>
      <c r="X36" s="34"/>
      <c r="Y36" s="35"/>
      <c r="Z36" s="28"/>
      <c r="AA36" s="39" t="s">
        <v>66</v>
      </c>
      <c r="AB36" s="34"/>
      <c r="AC36" s="35"/>
      <c r="AD36" s="28"/>
      <c r="AE36" s="28"/>
    </row>
    <row r="37" spans="1:31">
      <c r="A37" s="2"/>
      <c r="B37" s="2"/>
      <c r="C37" s="2"/>
      <c r="D37" s="2"/>
      <c r="E37" s="2"/>
      <c r="F37" s="13" t="s">
        <v>10</v>
      </c>
      <c r="G37" s="2"/>
      <c r="H37" s="2"/>
      <c r="I37" s="2"/>
      <c r="J37" s="2"/>
      <c r="K37" s="2"/>
      <c r="L37" s="2"/>
      <c r="M37" s="2"/>
      <c r="N37" s="28"/>
      <c r="O37" s="28"/>
      <c r="P37" s="28"/>
      <c r="Q37" s="28"/>
      <c r="R37" s="28"/>
      <c r="S37" s="28"/>
      <c r="T37" s="28"/>
      <c r="U37" s="28"/>
      <c r="V37" s="28"/>
      <c r="W37" s="39" t="s">
        <v>212</v>
      </c>
      <c r="X37" s="34"/>
      <c r="Y37" s="35"/>
      <c r="Z37" s="28"/>
      <c r="AA37" s="39" t="s">
        <v>67</v>
      </c>
      <c r="AB37" s="34"/>
      <c r="AC37" s="35"/>
      <c r="AD37" s="28"/>
      <c r="AE37" s="28"/>
    </row>
    <row r="38" spans="1:31">
      <c r="A38" s="2"/>
      <c r="B38" s="2"/>
      <c r="C38" s="2"/>
      <c r="D38" s="2"/>
      <c r="E38" s="2"/>
      <c r="F38" s="19" t="s">
        <v>16</v>
      </c>
      <c r="G38" s="14"/>
      <c r="H38" s="15" t="s">
        <v>20</v>
      </c>
      <c r="I38" s="15"/>
      <c r="J38" s="15"/>
      <c r="K38" s="15"/>
      <c r="L38" s="15"/>
      <c r="M38" s="15"/>
      <c r="N38" s="28"/>
      <c r="O38" s="28"/>
      <c r="P38" s="28"/>
      <c r="Q38" s="28"/>
      <c r="R38" s="28"/>
      <c r="S38" s="28"/>
      <c r="T38" s="28"/>
      <c r="U38" s="28"/>
      <c r="V38" s="28"/>
      <c r="W38" s="39" t="s">
        <v>214</v>
      </c>
      <c r="X38" s="34"/>
      <c r="Y38" s="35"/>
      <c r="Z38" s="28"/>
      <c r="AA38" s="39" t="s">
        <v>68</v>
      </c>
      <c r="AB38" s="34"/>
      <c r="AC38" s="35"/>
      <c r="AD38" s="28"/>
      <c r="AE38" s="28"/>
    </row>
    <row r="39" spans="1:31">
      <c r="A39" s="2"/>
      <c r="B39" s="2"/>
      <c r="C39" s="2"/>
      <c r="D39" s="2"/>
      <c r="E39" s="2"/>
      <c r="F39" s="19" t="s">
        <v>15</v>
      </c>
      <c r="G39" s="61" t="str">
        <f>IF(OR(G38="YES", G38="NO"),G38,VLOOKUP(F37,$Q$44:$Z$52,IF($G$5&gt;6,$G$5,$G$5+1),FALSE))</f>
        <v>NO</v>
      </c>
      <c r="H39" s="15"/>
      <c r="I39" s="15"/>
      <c r="J39" s="15"/>
      <c r="K39" s="15"/>
      <c r="L39" s="15"/>
      <c r="M39" s="15"/>
      <c r="N39" s="28"/>
      <c r="O39" s="28"/>
      <c r="P39" s="28"/>
      <c r="Q39" s="28"/>
      <c r="R39" s="28"/>
      <c r="S39" s="28"/>
      <c r="T39" s="28"/>
      <c r="U39" s="28"/>
      <c r="V39" s="28"/>
      <c r="W39" s="39"/>
      <c r="X39" s="34"/>
      <c r="Y39" s="35"/>
      <c r="Z39" s="28"/>
      <c r="AA39" s="28"/>
      <c r="AB39" s="28"/>
      <c r="AC39" s="28"/>
      <c r="AD39" s="28"/>
      <c r="AE39" s="28"/>
    </row>
    <row r="40" spans="1:31">
      <c r="A40" s="2"/>
      <c r="B40" s="2"/>
      <c r="C40" s="2"/>
      <c r="D40" s="2"/>
      <c r="E40" s="2"/>
      <c r="F40" s="20"/>
      <c r="G40" s="2"/>
      <c r="H40" s="2"/>
      <c r="I40" s="2"/>
      <c r="J40" s="2"/>
      <c r="K40" s="2"/>
      <c r="L40" s="2"/>
      <c r="M40" s="2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</row>
    <row r="41" spans="1:31">
      <c r="A41" s="2"/>
      <c r="B41" s="2"/>
      <c r="C41" s="2"/>
      <c r="D41" s="2"/>
      <c r="E41" s="2"/>
      <c r="F41" s="13" t="s">
        <v>11</v>
      </c>
      <c r="G41" s="2"/>
      <c r="H41" s="2"/>
      <c r="I41" s="2"/>
      <c r="J41" s="2"/>
      <c r="K41" s="2"/>
      <c r="L41" s="2"/>
      <c r="M41" s="2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</row>
    <row r="42" spans="1:31">
      <c r="A42" s="2"/>
      <c r="B42" s="2"/>
      <c r="C42" s="2"/>
      <c r="D42" s="2"/>
      <c r="E42" s="2"/>
      <c r="F42" s="19" t="s">
        <v>16</v>
      </c>
      <c r="G42" s="14" t="s">
        <v>19</v>
      </c>
      <c r="H42" s="15" t="s">
        <v>20</v>
      </c>
      <c r="I42" s="15"/>
      <c r="J42" s="15"/>
      <c r="K42" s="15"/>
      <c r="L42" s="15"/>
      <c r="M42" s="15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</row>
    <row r="43" spans="1:31">
      <c r="A43" s="2"/>
      <c r="B43" s="2"/>
      <c r="C43" s="2"/>
      <c r="D43" s="2"/>
      <c r="E43" s="2"/>
      <c r="F43" s="19" t="s">
        <v>15</v>
      </c>
      <c r="G43" s="61" t="str">
        <f>IF(OR(G42="YES", G42="NO"),G42,VLOOKUP(F41,$Q$44:$Z$52,IF($G$5&gt;6,$G$5,$G$5+1),FALSE))</f>
        <v>NO</v>
      </c>
      <c r="H43" s="15"/>
      <c r="I43" s="15"/>
      <c r="J43" s="15"/>
      <c r="K43" s="15"/>
      <c r="L43" s="15"/>
      <c r="M43" s="15"/>
      <c r="N43" s="50"/>
      <c r="O43" s="51"/>
      <c r="P43" s="52"/>
      <c r="Q43" s="53" t="s">
        <v>17</v>
      </c>
      <c r="R43" s="40">
        <v>1</v>
      </c>
      <c r="S43" s="40">
        <v>2</v>
      </c>
      <c r="T43" s="40">
        <v>3</v>
      </c>
      <c r="U43" s="40">
        <v>4</v>
      </c>
      <c r="V43" s="40">
        <v>5</v>
      </c>
      <c r="W43" s="40">
        <v>6</v>
      </c>
      <c r="X43" s="40">
        <v>8</v>
      </c>
      <c r="Y43" s="40">
        <v>9</v>
      </c>
      <c r="Z43" s="40">
        <v>10</v>
      </c>
      <c r="AA43" s="28"/>
      <c r="AB43" s="28"/>
      <c r="AC43" s="28"/>
      <c r="AD43" s="28"/>
      <c r="AE43" s="28"/>
    </row>
    <row r="44" spans="1:31">
      <c r="A44" s="2"/>
      <c r="B44" s="2"/>
      <c r="C44" s="2"/>
      <c r="D44" s="2"/>
      <c r="E44" s="2"/>
      <c r="F44" s="20"/>
      <c r="G44" s="2"/>
      <c r="H44" s="2"/>
      <c r="I44" s="2"/>
      <c r="J44" s="2"/>
      <c r="K44" s="2"/>
      <c r="L44" s="2"/>
      <c r="M44" s="2"/>
      <c r="N44" s="50"/>
      <c r="O44" s="51"/>
      <c r="P44" s="51"/>
      <c r="Q44" s="54" t="s">
        <v>6</v>
      </c>
      <c r="R44" s="41" t="s">
        <v>18</v>
      </c>
      <c r="S44" s="41" t="s">
        <v>18</v>
      </c>
      <c r="T44" s="41" t="s">
        <v>18</v>
      </c>
      <c r="U44" s="41" t="s">
        <v>18</v>
      </c>
      <c r="V44" s="41" t="s">
        <v>18</v>
      </c>
      <c r="W44" s="41" t="s">
        <v>18</v>
      </c>
      <c r="X44" s="41" t="s">
        <v>18</v>
      </c>
      <c r="Y44" s="42" t="s">
        <v>19</v>
      </c>
      <c r="Z44" s="42" t="s">
        <v>19</v>
      </c>
      <c r="AA44" s="28"/>
      <c r="AB44" s="28"/>
      <c r="AC44" s="28"/>
      <c r="AD44" s="28"/>
      <c r="AE44" s="28"/>
    </row>
    <row r="45" spans="1:31">
      <c r="A45" s="2"/>
      <c r="B45" s="2"/>
      <c r="C45" s="2"/>
      <c r="D45" s="2"/>
      <c r="E45" s="2"/>
      <c r="F45" s="13" t="s">
        <v>396</v>
      </c>
      <c r="G45" s="2"/>
      <c r="H45" s="2"/>
      <c r="I45" s="2"/>
      <c r="J45" s="2"/>
      <c r="K45" s="2"/>
      <c r="L45" s="2"/>
      <c r="M45" s="2"/>
      <c r="N45" s="50"/>
      <c r="O45" s="51"/>
      <c r="P45" s="51"/>
      <c r="Q45" s="54" t="s">
        <v>7</v>
      </c>
      <c r="R45" s="42" t="s">
        <v>19</v>
      </c>
      <c r="S45" s="42" t="s">
        <v>19</v>
      </c>
      <c r="T45" s="42" t="s">
        <v>19</v>
      </c>
      <c r="U45" s="42" t="s">
        <v>19</v>
      </c>
      <c r="V45" s="42" t="s">
        <v>19</v>
      </c>
      <c r="W45" s="42" t="s">
        <v>19</v>
      </c>
      <c r="X45" s="42" t="s">
        <v>19</v>
      </c>
      <c r="Y45" s="41" t="s">
        <v>18</v>
      </c>
      <c r="Z45" s="41" t="s">
        <v>18</v>
      </c>
      <c r="AA45" s="28"/>
      <c r="AB45" s="28"/>
      <c r="AC45" s="28"/>
      <c r="AD45" s="28"/>
      <c r="AE45" s="28"/>
    </row>
    <row r="46" spans="1:31">
      <c r="A46" s="2"/>
      <c r="B46" s="2"/>
      <c r="C46" s="2"/>
      <c r="D46" s="2"/>
      <c r="E46" s="2"/>
      <c r="F46" s="19" t="s">
        <v>16</v>
      </c>
      <c r="G46" s="14"/>
      <c r="H46" s="15" t="s">
        <v>20</v>
      </c>
      <c r="I46" s="15"/>
      <c r="J46" s="15"/>
      <c r="K46" s="15"/>
      <c r="L46" s="15"/>
      <c r="M46" s="15"/>
      <c r="N46" s="50"/>
      <c r="O46" s="51"/>
      <c r="P46" s="51"/>
      <c r="Q46" s="54" t="s">
        <v>8</v>
      </c>
      <c r="R46" s="42" t="s">
        <v>19</v>
      </c>
      <c r="S46" s="42" t="s">
        <v>19</v>
      </c>
      <c r="T46" s="41" t="s">
        <v>18</v>
      </c>
      <c r="U46" s="42" t="s">
        <v>19</v>
      </c>
      <c r="V46" s="42" t="s">
        <v>19</v>
      </c>
      <c r="W46" s="42" t="s">
        <v>19</v>
      </c>
      <c r="X46" s="42" t="s">
        <v>19</v>
      </c>
      <c r="Y46" s="42" t="s">
        <v>19</v>
      </c>
      <c r="Z46" s="42" t="s">
        <v>19</v>
      </c>
      <c r="AA46" s="28"/>
      <c r="AB46" s="28"/>
      <c r="AC46" s="28"/>
      <c r="AD46" s="28"/>
      <c r="AE46" s="28"/>
    </row>
    <row r="47" spans="1:31">
      <c r="A47" s="2"/>
      <c r="B47" s="2"/>
      <c r="C47" s="2"/>
      <c r="D47" s="2"/>
      <c r="E47" s="2"/>
      <c r="F47" s="19" t="s">
        <v>15</v>
      </c>
      <c r="G47" s="61" t="str">
        <f>IF(OR(G46="YES", G46="NO"),G46,VLOOKUP(F45,$Q$44:$Z$52,IF($G$5&gt;6,$G$5,$G$5+1),FALSE))</f>
        <v>NO</v>
      </c>
      <c r="H47" s="15"/>
      <c r="I47" s="15"/>
      <c r="J47" s="15"/>
      <c r="K47" s="15"/>
      <c r="L47" s="15"/>
      <c r="M47" s="15"/>
      <c r="N47" s="50"/>
      <c r="O47" s="51"/>
      <c r="P47" s="51"/>
      <c r="Q47" s="54" t="s">
        <v>9</v>
      </c>
      <c r="R47" s="41" t="s">
        <v>18</v>
      </c>
      <c r="S47" s="41" t="s">
        <v>18</v>
      </c>
      <c r="T47" s="42" t="s">
        <v>19</v>
      </c>
      <c r="U47" s="42" t="s">
        <v>19</v>
      </c>
      <c r="V47" s="41" t="s">
        <v>18</v>
      </c>
      <c r="W47" s="41" t="s">
        <v>18</v>
      </c>
      <c r="X47" s="42" t="s">
        <v>19</v>
      </c>
      <c r="Y47" s="42" t="s">
        <v>19</v>
      </c>
      <c r="Z47" s="42" t="s">
        <v>19</v>
      </c>
      <c r="AA47" s="28"/>
      <c r="AB47" s="28"/>
      <c r="AC47" s="28"/>
      <c r="AD47" s="28"/>
      <c r="AE47" s="28"/>
    </row>
    <row r="48" spans="1:31">
      <c r="A48" s="2"/>
      <c r="B48" s="2"/>
      <c r="C48" s="2"/>
      <c r="D48" s="2"/>
      <c r="E48" s="2"/>
      <c r="F48" s="20"/>
      <c r="G48" s="2"/>
      <c r="H48" s="2"/>
      <c r="I48" s="2"/>
      <c r="J48" s="2"/>
      <c r="K48" s="2"/>
      <c r="L48" s="2"/>
      <c r="M48" s="2"/>
      <c r="N48" s="50"/>
      <c r="O48" s="51"/>
      <c r="P48" s="51"/>
      <c r="Q48" s="54" t="s">
        <v>10</v>
      </c>
      <c r="R48" s="42" t="s">
        <v>19</v>
      </c>
      <c r="S48" s="42" t="s">
        <v>19</v>
      </c>
      <c r="T48" s="42" t="s">
        <v>19</v>
      </c>
      <c r="U48" s="41" t="s">
        <v>18</v>
      </c>
      <c r="V48" s="42" t="s">
        <v>19</v>
      </c>
      <c r="W48" s="42" t="s">
        <v>19</v>
      </c>
      <c r="X48" s="41" t="s">
        <v>18</v>
      </c>
      <c r="Y48" s="42" t="s">
        <v>19</v>
      </c>
      <c r="Z48" s="42" t="s">
        <v>19</v>
      </c>
      <c r="AA48" s="28"/>
      <c r="AB48" s="28"/>
      <c r="AC48" s="28"/>
      <c r="AD48" s="28"/>
      <c r="AE48" s="28"/>
    </row>
    <row r="49" spans="1:31">
      <c r="A49" s="2"/>
      <c r="B49" s="2"/>
      <c r="C49" s="2"/>
      <c r="D49" s="2"/>
      <c r="E49" s="2"/>
      <c r="F49" s="13" t="s">
        <v>13</v>
      </c>
      <c r="G49" s="2"/>
      <c r="H49" s="2"/>
      <c r="I49" s="2"/>
      <c r="J49" s="2"/>
      <c r="K49" s="2"/>
      <c r="L49" s="2"/>
      <c r="M49" s="2"/>
      <c r="N49" s="50"/>
      <c r="O49" s="51"/>
      <c r="P49" s="51"/>
      <c r="Q49" s="54" t="s">
        <v>11</v>
      </c>
      <c r="R49" s="42" t="s">
        <v>19</v>
      </c>
      <c r="S49" s="42" t="s">
        <v>19</v>
      </c>
      <c r="T49" s="42" t="s">
        <v>19</v>
      </c>
      <c r="U49" s="42" t="s">
        <v>19</v>
      </c>
      <c r="V49" s="41" t="s">
        <v>18</v>
      </c>
      <c r="W49" s="41" t="s">
        <v>18</v>
      </c>
      <c r="X49" s="41" t="s">
        <v>18</v>
      </c>
      <c r="Y49" s="42" t="s">
        <v>19</v>
      </c>
      <c r="Z49" s="42" t="s">
        <v>19</v>
      </c>
      <c r="AA49" s="28"/>
      <c r="AB49" s="28"/>
      <c r="AC49" s="28"/>
      <c r="AD49" s="28"/>
      <c r="AE49" s="28"/>
    </row>
    <row r="50" spans="1:31">
      <c r="A50" s="2"/>
      <c r="B50" s="2"/>
      <c r="C50" s="2"/>
      <c r="D50" s="2"/>
      <c r="E50" s="2"/>
      <c r="F50" s="19" t="s">
        <v>16</v>
      </c>
      <c r="G50" s="14"/>
      <c r="H50" s="15" t="s">
        <v>20</v>
      </c>
      <c r="I50" s="15"/>
      <c r="J50" s="15"/>
      <c r="K50" s="15"/>
      <c r="L50" s="15"/>
      <c r="M50" s="15"/>
      <c r="N50" s="50"/>
      <c r="O50" s="51"/>
      <c r="P50" s="51"/>
      <c r="Q50" s="54" t="s">
        <v>396</v>
      </c>
      <c r="R50" s="41" t="s">
        <v>18</v>
      </c>
      <c r="S50" s="42" t="s">
        <v>19</v>
      </c>
      <c r="T50" s="42" t="s">
        <v>19</v>
      </c>
      <c r="U50" s="42" t="s">
        <v>19</v>
      </c>
      <c r="V50" s="41" t="s">
        <v>18</v>
      </c>
      <c r="W50" s="42" t="s">
        <v>19</v>
      </c>
      <c r="X50" s="42" t="s">
        <v>19</v>
      </c>
      <c r="Y50" s="41" t="s">
        <v>18</v>
      </c>
      <c r="Z50" s="42" t="s">
        <v>19</v>
      </c>
      <c r="AA50" s="28"/>
      <c r="AB50" s="28"/>
      <c r="AC50" s="28"/>
      <c r="AD50" s="28"/>
      <c r="AE50" s="28"/>
    </row>
    <row r="51" spans="1:31">
      <c r="A51" s="2"/>
      <c r="B51" s="2"/>
      <c r="C51" s="2"/>
      <c r="D51" s="2"/>
      <c r="E51" s="2"/>
      <c r="F51" s="19" t="s">
        <v>15</v>
      </c>
      <c r="G51" s="61" t="str">
        <f>IF(OR(G50="YES", G50="NO"),G50,VLOOKUP(F49,$Q$44:$Z$52,IF($G$5&gt;6,$G$5,$G$5+1),FALSE))</f>
        <v>YES</v>
      </c>
      <c r="H51" s="15"/>
      <c r="I51" s="15"/>
      <c r="J51" s="15"/>
      <c r="K51" s="15"/>
      <c r="L51" s="15"/>
      <c r="M51" s="15"/>
      <c r="N51" s="50"/>
      <c r="O51" s="51"/>
      <c r="P51" s="51"/>
      <c r="Q51" s="54" t="s">
        <v>13</v>
      </c>
      <c r="R51" s="42" t="s">
        <v>19</v>
      </c>
      <c r="S51" s="41" t="s">
        <v>18</v>
      </c>
      <c r="T51" s="41" t="s">
        <v>18</v>
      </c>
      <c r="U51" s="41" t="s">
        <v>18</v>
      </c>
      <c r="V51" s="42" t="s">
        <v>19</v>
      </c>
      <c r="W51" s="41" t="s">
        <v>18</v>
      </c>
      <c r="X51" s="41" t="s">
        <v>18</v>
      </c>
      <c r="Y51" s="42" t="s">
        <v>19</v>
      </c>
      <c r="Z51" s="41" t="s">
        <v>18</v>
      </c>
      <c r="AA51" s="28"/>
      <c r="AB51" s="28"/>
      <c r="AC51" s="28"/>
      <c r="AD51" s="28"/>
      <c r="AE51" s="28"/>
    </row>
    <row r="52" spans="1:31">
      <c r="A52" s="2"/>
      <c r="B52" s="2"/>
      <c r="C52" s="2"/>
      <c r="D52" s="2"/>
      <c r="E52" s="2"/>
      <c r="F52" s="20"/>
      <c r="G52" s="2"/>
      <c r="H52" s="2"/>
      <c r="I52" s="2"/>
      <c r="J52" s="2"/>
      <c r="K52" s="2"/>
      <c r="L52" s="2"/>
      <c r="M52" s="2"/>
      <c r="N52" s="50"/>
      <c r="O52" s="51"/>
      <c r="P52" s="51"/>
      <c r="Q52" s="54" t="s">
        <v>14</v>
      </c>
      <c r="R52" s="42" t="s">
        <v>19</v>
      </c>
      <c r="S52" s="41" t="s">
        <v>18</v>
      </c>
      <c r="T52" s="41" t="s">
        <v>18</v>
      </c>
      <c r="U52" s="41" t="s">
        <v>18</v>
      </c>
      <c r="V52" s="42" t="s">
        <v>19</v>
      </c>
      <c r="W52" s="42" t="s">
        <v>19</v>
      </c>
      <c r="X52" s="42" t="s">
        <v>19</v>
      </c>
      <c r="Y52" s="41" t="s">
        <v>18</v>
      </c>
      <c r="Z52" s="41" t="s">
        <v>18</v>
      </c>
      <c r="AA52" s="28"/>
      <c r="AB52" s="28"/>
      <c r="AC52" s="28"/>
      <c r="AD52" s="28"/>
      <c r="AE52" s="28"/>
    </row>
    <row r="53" spans="1:31">
      <c r="A53" s="2"/>
      <c r="B53" s="2"/>
      <c r="C53" s="2"/>
      <c r="D53" s="2"/>
      <c r="E53" s="2"/>
      <c r="F53" s="13" t="s">
        <v>14</v>
      </c>
      <c r="G53" s="2"/>
      <c r="H53" s="2"/>
      <c r="I53" s="2"/>
      <c r="J53" s="2"/>
      <c r="K53" s="2"/>
      <c r="L53" s="2"/>
      <c r="M53" s="2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</row>
    <row r="54" spans="1:31">
      <c r="A54" s="2"/>
      <c r="B54" s="2"/>
      <c r="C54" s="2"/>
      <c r="D54" s="2"/>
      <c r="E54" s="2"/>
      <c r="F54" s="11" t="s">
        <v>16</v>
      </c>
      <c r="G54" s="14" t="s">
        <v>19</v>
      </c>
      <c r="H54" s="15" t="s">
        <v>20</v>
      </c>
      <c r="I54" s="15"/>
      <c r="J54" s="15"/>
      <c r="K54" s="15"/>
      <c r="L54" s="15"/>
      <c r="M54" s="15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</row>
    <row r="55" spans="1:31">
      <c r="A55" s="2"/>
      <c r="B55" s="2"/>
      <c r="C55" s="2"/>
      <c r="D55" s="2"/>
      <c r="E55" s="2"/>
      <c r="F55" s="11" t="s">
        <v>15</v>
      </c>
      <c r="G55" s="61" t="str">
        <f>IF(OR(G54="YES", G54="NO"),G54,VLOOKUP(F53,$Q$44:$Z$52,IF($G$5&gt;6,$G$5,$G$5+1),FALSE))</f>
        <v>NO</v>
      </c>
      <c r="H55" s="15"/>
      <c r="I55" s="15"/>
      <c r="J55" s="15"/>
      <c r="K55" s="15"/>
      <c r="L55" s="15"/>
      <c r="M55" s="15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</row>
    <row r="56" spans="1:3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</row>
    <row r="57" spans="1:31">
      <c r="A57" s="2"/>
      <c r="B57" s="2"/>
      <c r="C57" s="2"/>
      <c r="D57" s="2"/>
      <c r="E57" s="2"/>
      <c r="F57" s="44" t="s">
        <v>54</v>
      </c>
      <c r="G57" s="2"/>
      <c r="H57" s="2"/>
      <c r="I57" s="2"/>
      <c r="J57" s="2"/>
      <c r="K57" s="2"/>
      <c r="L57" s="2"/>
      <c r="M57" s="2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</row>
    <row r="58" spans="1:31">
      <c r="A58" s="2"/>
      <c r="B58" s="2"/>
      <c r="C58" s="2"/>
      <c r="D58" s="2"/>
      <c r="E58" s="2"/>
      <c r="F58" s="11" t="s">
        <v>53</v>
      </c>
      <c r="G58" s="14" t="s">
        <v>19</v>
      </c>
      <c r="H58" s="22" t="s">
        <v>1</v>
      </c>
      <c r="I58" s="2"/>
      <c r="J58" s="2"/>
      <c r="K58" s="2"/>
      <c r="L58" s="2"/>
      <c r="M58" s="2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</row>
    <row r="59" spans="1:31">
      <c r="A59" s="2"/>
      <c r="B59" s="2"/>
      <c r="C59" s="2"/>
      <c r="D59" s="2"/>
      <c r="E59" s="2"/>
      <c r="F59" s="11" t="s">
        <v>395</v>
      </c>
      <c r="G59" s="14" t="s">
        <v>19</v>
      </c>
      <c r="H59" s="22" t="s">
        <v>1</v>
      </c>
      <c r="I59" s="2"/>
      <c r="J59" s="2"/>
      <c r="K59" s="2"/>
      <c r="L59" s="2"/>
      <c r="M59" s="2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</row>
    <row r="60" spans="1:31">
      <c r="A60" s="2"/>
      <c r="B60" s="2"/>
      <c r="C60" s="2"/>
      <c r="D60" s="2"/>
      <c r="E60" s="2"/>
      <c r="F60" s="11" t="s">
        <v>66</v>
      </c>
      <c r="G60" s="14" t="s">
        <v>68</v>
      </c>
      <c r="H60" s="22" t="s">
        <v>1</v>
      </c>
      <c r="I60" s="2"/>
      <c r="J60" s="2"/>
      <c r="K60" s="2"/>
      <c r="L60" s="2"/>
      <c r="M60" s="2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</row>
    <row r="61" spans="1:3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</row>
    <row r="62" spans="1:31">
      <c r="O62"/>
      <c r="P62"/>
    </row>
    <row r="63" spans="1:31">
      <c r="O63"/>
      <c r="P63"/>
    </row>
    <row r="64" spans="1:31">
      <c r="O64"/>
      <c r="P64"/>
    </row>
    <row r="65" spans="15:16">
      <c r="O65"/>
      <c r="P65"/>
    </row>
    <row r="66" spans="15:16">
      <c r="O66"/>
      <c r="P66"/>
    </row>
    <row r="67" spans="15:16">
      <c r="O67"/>
      <c r="P67"/>
    </row>
    <row r="68" spans="15:16">
      <c r="O68"/>
      <c r="P68"/>
    </row>
    <row r="69" spans="15:16">
      <c r="O69"/>
      <c r="P69"/>
    </row>
    <row r="70" spans="15:16">
      <c r="O70"/>
      <c r="P70"/>
    </row>
    <row r="71" spans="15:16">
      <c r="O71"/>
      <c r="P71"/>
    </row>
    <row r="72" spans="15:16">
      <c r="O72"/>
      <c r="P72"/>
    </row>
    <row r="73" spans="15:16">
      <c r="O73"/>
      <c r="P73"/>
    </row>
    <row r="74" spans="15:16">
      <c r="O74"/>
      <c r="P74"/>
    </row>
    <row r="75" spans="15:16">
      <c r="O75"/>
      <c r="P75"/>
    </row>
    <row r="76" spans="15:16">
      <c r="O76"/>
      <c r="P76"/>
    </row>
    <row r="77" spans="15:16">
      <c r="O77"/>
      <c r="P77"/>
    </row>
    <row r="78" spans="15:16">
      <c r="O78"/>
      <c r="P78"/>
    </row>
    <row r="79" spans="15:16">
      <c r="O79"/>
      <c r="P79"/>
    </row>
    <row r="80" spans="15:16">
      <c r="O80"/>
      <c r="P80"/>
    </row>
    <row r="81" spans="15:16">
      <c r="O81"/>
      <c r="P81"/>
    </row>
    <row r="82" spans="15:16">
      <c r="O82"/>
      <c r="P82"/>
    </row>
    <row r="83" spans="15:16">
      <c r="O83"/>
      <c r="P83"/>
    </row>
    <row r="84" spans="15:16">
      <c r="O84"/>
      <c r="P84"/>
    </row>
    <row r="85" spans="15:16">
      <c r="O85"/>
      <c r="P85"/>
    </row>
    <row r="86" spans="15:16">
      <c r="O86"/>
      <c r="P86"/>
    </row>
    <row r="87" spans="15:16">
      <c r="O87"/>
      <c r="P87"/>
    </row>
    <row r="88" spans="15:16">
      <c r="O88"/>
      <c r="P88"/>
    </row>
    <row r="89" spans="15:16">
      <c r="O89"/>
      <c r="P89"/>
    </row>
    <row r="90" spans="15:16">
      <c r="O90"/>
      <c r="P90"/>
    </row>
    <row r="91" spans="15:16">
      <c r="O91"/>
      <c r="P91"/>
    </row>
    <row r="92" spans="15:16">
      <c r="O92"/>
      <c r="P92"/>
    </row>
    <row r="93" spans="15:16">
      <c r="O93"/>
      <c r="P93"/>
    </row>
    <row r="94" spans="15:16">
      <c r="O94"/>
      <c r="P94"/>
    </row>
    <row r="95" spans="15:16">
      <c r="O95"/>
      <c r="P95"/>
    </row>
    <row r="96" spans="15:16">
      <c r="O96"/>
      <c r="P96"/>
    </row>
    <row r="97" spans="14:16">
      <c r="O97"/>
      <c r="P97"/>
    </row>
    <row r="98" spans="14:16">
      <c r="O98"/>
      <c r="P98"/>
    </row>
    <row r="99" spans="14:16">
      <c r="O99"/>
      <c r="P99"/>
    </row>
    <row r="100" spans="14:16">
      <c r="O100"/>
      <c r="P100"/>
    </row>
    <row r="101" spans="14:16">
      <c r="O101"/>
      <c r="P101"/>
    </row>
    <row r="102" spans="14:16">
      <c r="O102"/>
      <c r="P102"/>
    </row>
    <row r="103" spans="14:16">
      <c r="O103"/>
      <c r="P103"/>
    </row>
    <row r="104" spans="14:16">
      <c r="N104" s="7"/>
      <c r="O104"/>
      <c r="P104"/>
    </row>
    <row r="105" spans="14:16">
      <c r="N105" s="7"/>
      <c r="O105"/>
      <c r="P105"/>
    </row>
    <row r="106" spans="14:16">
      <c r="N106" s="7"/>
      <c r="O106"/>
      <c r="P106"/>
    </row>
    <row r="107" spans="14:16">
      <c r="N107" s="7"/>
      <c r="O107"/>
      <c r="P107"/>
    </row>
    <row r="108" spans="14:16">
      <c r="N108" s="7"/>
      <c r="O108"/>
      <c r="P108"/>
    </row>
    <row r="109" spans="14:16">
      <c r="N109" s="7"/>
      <c r="O109"/>
      <c r="P109"/>
    </row>
    <row r="110" spans="14:16">
      <c r="N110" s="7"/>
      <c r="O110"/>
      <c r="P110"/>
    </row>
    <row r="111" spans="14:16">
      <c r="N111" s="7"/>
      <c r="O111"/>
      <c r="P111"/>
    </row>
    <row r="112" spans="14:16">
      <c r="N112" s="7"/>
      <c r="O112"/>
      <c r="P112"/>
    </row>
    <row r="113" spans="15:16">
      <c r="O113"/>
      <c r="P113"/>
    </row>
    <row r="114" spans="15:16">
      <c r="O114"/>
      <c r="P114"/>
    </row>
    <row r="115" spans="15:16">
      <c r="O115"/>
      <c r="P115"/>
    </row>
    <row r="116" spans="15:16">
      <c r="O116"/>
      <c r="P116"/>
    </row>
    <row r="117" spans="15:16">
      <c r="O117"/>
      <c r="P117"/>
    </row>
    <row r="118" spans="15:16">
      <c r="O118"/>
      <c r="P118"/>
    </row>
    <row r="119" spans="15:16">
      <c r="O119"/>
      <c r="P119"/>
    </row>
    <row r="120" spans="15:16">
      <c r="O120"/>
      <c r="P120"/>
    </row>
    <row r="121" spans="15:16">
      <c r="O121"/>
      <c r="P121"/>
    </row>
    <row r="122" spans="15:16">
      <c r="O122"/>
      <c r="P122"/>
    </row>
    <row r="123" spans="15:16">
      <c r="O123"/>
      <c r="P123"/>
    </row>
    <row r="124" spans="15:16">
      <c r="O124"/>
      <c r="P124"/>
    </row>
    <row r="125" spans="15:16">
      <c r="O125"/>
      <c r="P125"/>
    </row>
    <row r="126" spans="15:16">
      <c r="O126"/>
      <c r="P126"/>
    </row>
    <row r="127" spans="15:16">
      <c r="O127"/>
      <c r="P127"/>
    </row>
    <row r="128" spans="15:16">
      <c r="O128"/>
      <c r="P128"/>
    </row>
    <row r="129" spans="15:16">
      <c r="O129"/>
      <c r="P129"/>
    </row>
    <row r="130" spans="15:16">
      <c r="O130"/>
      <c r="P130"/>
    </row>
    <row r="131" spans="15:16">
      <c r="O131"/>
      <c r="P131"/>
    </row>
    <row r="132" spans="15:16">
      <c r="O132"/>
      <c r="P132"/>
    </row>
    <row r="133" spans="15:16">
      <c r="O133"/>
      <c r="P133"/>
    </row>
    <row r="134" spans="15:16">
      <c r="O134"/>
      <c r="P134"/>
    </row>
    <row r="135" spans="15:16">
      <c r="O135"/>
      <c r="P135"/>
    </row>
    <row r="136" spans="15:16">
      <c r="O136"/>
      <c r="P136"/>
    </row>
    <row r="137" spans="15:16">
      <c r="O137"/>
      <c r="P137"/>
    </row>
    <row r="138" spans="15:16">
      <c r="O138"/>
      <c r="P138"/>
    </row>
    <row r="139" spans="15:16">
      <c r="O139"/>
      <c r="P139"/>
    </row>
    <row r="140" spans="15:16">
      <c r="O140"/>
      <c r="P140"/>
    </row>
    <row r="141" spans="15:16">
      <c r="O141"/>
      <c r="P141"/>
    </row>
    <row r="142" spans="15:16">
      <c r="O142"/>
      <c r="P142"/>
    </row>
    <row r="143" spans="15:16">
      <c r="O143"/>
      <c r="P143"/>
    </row>
    <row r="144" spans="15:16">
      <c r="O144"/>
      <c r="P144"/>
    </row>
    <row r="145" spans="15:16">
      <c r="O145"/>
      <c r="P145"/>
    </row>
    <row r="146" spans="15:16">
      <c r="O146"/>
      <c r="P146"/>
    </row>
    <row r="147" spans="15:16">
      <c r="O147"/>
      <c r="P147"/>
    </row>
    <row r="148" spans="15:16">
      <c r="O148"/>
      <c r="P148"/>
    </row>
    <row r="149" spans="15:16">
      <c r="O149"/>
      <c r="P149"/>
    </row>
    <row r="150" spans="15:16">
      <c r="O150"/>
      <c r="P150"/>
    </row>
    <row r="151" spans="15:16">
      <c r="O151"/>
      <c r="P151"/>
    </row>
    <row r="152" spans="15:16">
      <c r="O152"/>
      <c r="P152"/>
    </row>
    <row r="153" spans="15:16">
      <c r="O153"/>
      <c r="P153"/>
    </row>
    <row r="154" spans="15:16">
      <c r="O154"/>
      <c r="P154"/>
    </row>
    <row r="155" spans="15:16">
      <c r="O155"/>
      <c r="P155"/>
    </row>
    <row r="156" spans="15:16">
      <c r="O156"/>
      <c r="P156"/>
    </row>
    <row r="157" spans="15:16">
      <c r="O157"/>
      <c r="P157"/>
    </row>
    <row r="158" spans="15:16">
      <c r="O158"/>
      <c r="P158"/>
    </row>
    <row r="159" spans="15:16">
      <c r="O159"/>
      <c r="P159"/>
    </row>
    <row r="160" spans="15:16">
      <c r="O160"/>
      <c r="P160"/>
    </row>
    <row r="161" spans="15:16">
      <c r="O161"/>
      <c r="P161"/>
    </row>
    <row r="162" spans="15:16">
      <c r="O162"/>
      <c r="P162"/>
    </row>
    <row r="163" spans="15:16">
      <c r="O163"/>
      <c r="P163"/>
    </row>
    <row r="164" spans="15:16">
      <c r="O164"/>
      <c r="P164"/>
    </row>
    <row r="165" spans="15:16">
      <c r="O165"/>
      <c r="P165"/>
    </row>
    <row r="166" spans="15:16">
      <c r="O166"/>
      <c r="P166"/>
    </row>
    <row r="167" spans="15:16">
      <c r="O167"/>
      <c r="P167"/>
    </row>
    <row r="168" spans="15:16">
      <c r="O168"/>
      <c r="P168"/>
    </row>
    <row r="169" spans="15:16">
      <c r="O169"/>
      <c r="P169"/>
    </row>
    <row r="170" spans="15:16">
      <c r="O170"/>
      <c r="P170"/>
    </row>
    <row r="171" spans="15:16">
      <c r="O171"/>
      <c r="P171"/>
    </row>
    <row r="172" spans="15:16">
      <c r="O172"/>
      <c r="P172"/>
    </row>
    <row r="173" spans="15:16">
      <c r="O173"/>
      <c r="P173"/>
    </row>
    <row r="174" spans="15:16">
      <c r="O174"/>
      <c r="P174"/>
    </row>
    <row r="175" spans="15:16">
      <c r="O175"/>
      <c r="P175"/>
    </row>
    <row r="176" spans="15:16">
      <c r="O176"/>
      <c r="P176"/>
    </row>
    <row r="177" spans="15:16">
      <c r="O177"/>
      <c r="P177"/>
    </row>
    <row r="178" spans="15:16">
      <c r="O178"/>
      <c r="P178"/>
    </row>
    <row r="179" spans="15:16">
      <c r="O179"/>
      <c r="P179"/>
    </row>
    <row r="180" spans="15:16">
      <c r="O180"/>
      <c r="P180"/>
    </row>
    <row r="181" spans="15:16">
      <c r="O181"/>
      <c r="P181"/>
    </row>
    <row r="182" spans="15:16">
      <c r="O182"/>
      <c r="P182"/>
    </row>
    <row r="183" spans="15:16">
      <c r="O183"/>
      <c r="P183"/>
    </row>
    <row r="184" spans="15:16">
      <c r="O184"/>
      <c r="P184"/>
    </row>
    <row r="185" spans="15:16">
      <c r="O185"/>
      <c r="P185"/>
    </row>
    <row r="186" spans="15:16">
      <c r="O186"/>
      <c r="P186"/>
    </row>
    <row r="187" spans="15:16">
      <c r="O187"/>
      <c r="P187"/>
    </row>
    <row r="188" spans="15:16">
      <c r="O188"/>
      <c r="P188"/>
    </row>
    <row r="189" spans="15:16">
      <c r="O189"/>
      <c r="P189"/>
    </row>
    <row r="190" spans="15:16">
      <c r="O190"/>
      <c r="P190"/>
    </row>
    <row r="191" spans="15:16">
      <c r="O191"/>
      <c r="P191"/>
    </row>
    <row r="192" spans="15:16">
      <c r="O192"/>
      <c r="P192"/>
    </row>
    <row r="193" spans="15:16">
      <c r="O193"/>
      <c r="P193"/>
    </row>
    <row r="194" spans="15:16">
      <c r="O194"/>
      <c r="P194"/>
    </row>
    <row r="195" spans="15:16">
      <c r="O195"/>
      <c r="P195"/>
    </row>
    <row r="196" spans="15:16">
      <c r="O196"/>
      <c r="P196"/>
    </row>
    <row r="197" spans="15:16">
      <c r="O197"/>
      <c r="P197"/>
    </row>
    <row r="198" spans="15:16">
      <c r="O198"/>
      <c r="P198"/>
    </row>
    <row r="199" spans="15:16">
      <c r="O199"/>
      <c r="P199"/>
    </row>
    <row r="200" spans="15:16">
      <c r="O200"/>
      <c r="P200"/>
    </row>
    <row r="201" spans="15:16">
      <c r="O201"/>
      <c r="P201"/>
    </row>
    <row r="202" spans="15:16">
      <c r="O202"/>
      <c r="P202"/>
    </row>
    <row r="203" spans="15:16">
      <c r="O203"/>
      <c r="P203"/>
    </row>
    <row r="204" spans="15:16">
      <c r="O204"/>
      <c r="P204"/>
    </row>
    <row r="205" spans="15:16">
      <c r="O205"/>
      <c r="P205"/>
    </row>
    <row r="206" spans="15:16">
      <c r="O206"/>
      <c r="P206"/>
    </row>
    <row r="207" spans="15:16">
      <c r="O207"/>
      <c r="P207"/>
    </row>
    <row r="208" spans="15:16">
      <c r="O208"/>
      <c r="P208"/>
    </row>
    <row r="209" spans="15:16">
      <c r="O209"/>
      <c r="P209"/>
    </row>
    <row r="210" spans="15:16">
      <c r="O210"/>
      <c r="P210"/>
    </row>
    <row r="211" spans="15:16">
      <c r="O211"/>
      <c r="P211"/>
    </row>
    <row r="212" spans="15:16">
      <c r="O212"/>
      <c r="P212"/>
    </row>
    <row r="213" spans="15:16">
      <c r="O213"/>
      <c r="P213"/>
    </row>
    <row r="214" spans="15:16">
      <c r="O214"/>
      <c r="P214"/>
    </row>
    <row r="215" spans="15:16">
      <c r="O215"/>
      <c r="P215"/>
    </row>
    <row r="216" spans="15:16">
      <c r="O216"/>
      <c r="P216"/>
    </row>
    <row r="217" spans="15:16">
      <c r="O217"/>
      <c r="P217"/>
    </row>
    <row r="218" spans="15:16">
      <c r="O218"/>
      <c r="P218"/>
    </row>
    <row r="219" spans="15:16">
      <c r="O219"/>
      <c r="P219"/>
    </row>
    <row r="220" spans="15:16">
      <c r="O220"/>
      <c r="P220"/>
    </row>
    <row r="221" spans="15:16">
      <c r="O221"/>
      <c r="P221"/>
    </row>
    <row r="222" spans="15:16">
      <c r="O222"/>
      <c r="P222"/>
    </row>
    <row r="223" spans="15:16">
      <c r="O223"/>
      <c r="P223"/>
    </row>
    <row r="224" spans="15:16">
      <c r="O224"/>
      <c r="P224"/>
    </row>
    <row r="225" spans="15:16">
      <c r="O225"/>
      <c r="P225"/>
    </row>
    <row r="226" spans="15:16">
      <c r="O226"/>
      <c r="P226"/>
    </row>
    <row r="227" spans="15:16">
      <c r="O227"/>
      <c r="P227"/>
    </row>
    <row r="228" spans="15:16">
      <c r="O228"/>
      <c r="P228"/>
    </row>
    <row r="229" spans="15:16">
      <c r="O229"/>
      <c r="P229"/>
    </row>
    <row r="230" spans="15:16">
      <c r="O230"/>
      <c r="P230"/>
    </row>
    <row r="231" spans="15:16">
      <c r="O231"/>
      <c r="P231"/>
    </row>
    <row r="232" spans="15:16">
      <c r="O232"/>
      <c r="P232"/>
    </row>
    <row r="233" spans="15:16">
      <c r="O233"/>
      <c r="P233"/>
    </row>
    <row r="234" spans="15:16">
      <c r="O234"/>
      <c r="P234"/>
    </row>
    <row r="235" spans="15:16">
      <c r="O235"/>
      <c r="P235"/>
    </row>
    <row r="236" spans="15:16">
      <c r="O236"/>
      <c r="P236"/>
    </row>
    <row r="237" spans="15:16">
      <c r="O237"/>
      <c r="P237"/>
    </row>
    <row r="238" spans="15:16">
      <c r="O238"/>
      <c r="P238"/>
    </row>
    <row r="239" spans="15:16">
      <c r="O239"/>
      <c r="P239"/>
    </row>
    <row r="240" spans="15:16">
      <c r="O240"/>
      <c r="P240"/>
    </row>
    <row r="241" spans="15:16">
      <c r="O241"/>
      <c r="P241"/>
    </row>
  </sheetData>
  <dataValidations count="6">
    <dataValidation type="list" allowBlank="1" showInputMessage="1" showErrorMessage="1" sqref="G5" xr:uid="{8652516B-EB84-412C-9359-0B771F208C1B}">
      <formula1>IF($G$4="Condensing",$AB$9:$AB$11,$AA$9:$AA$17)</formula1>
    </dataValidation>
    <dataValidation type="list" allowBlank="1" showInputMessage="1" showErrorMessage="1" sqref="G4" xr:uid="{F7513C3F-61D3-4F9F-8209-290475D75865}">
      <formula1>$AA$21:$AA$22</formula1>
    </dataValidation>
    <dataValidation type="list" allowBlank="1" showInputMessage="1" showErrorMessage="1" sqref="G6" xr:uid="{7AC89ABD-1F19-4A9E-8CF7-F15FB13307D4}">
      <formula1>$AA$26:$AA$28</formula1>
    </dataValidation>
    <dataValidation type="list" allowBlank="1" showInputMessage="1" showErrorMessage="1" sqref="G58:G59" xr:uid="{33F47605-5843-4DCD-8867-23152B83C55A}">
      <formula1>$AA$32:$AA$33</formula1>
    </dataValidation>
    <dataValidation type="list" allowBlank="1" showInputMessage="1" showErrorMessage="1" sqref="G60" xr:uid="{B1339D50-ABDA-46B9-8E82-D209A5768178}">
      <formula1>$AA$37:$AA$38</formula1>
    </dataValidation>
    <dataValidation type="list" allowBlank="1" showInputMessage="1" showErrorMessage="1" sqref="B27" xr:uid="{7F0FDD10-2F43-4E54-8264-4012DCEF0BD9}">
      <formula1>$W$37:$W$39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tartButton">
                <anchor moveWithCells="1" sizeWithCells="1">
                  <from>
                    <xdr:col>8</xdr:col>
                    <xdr:colOff>542925</xdr:colOff>
                    <xdr:row>3</xdr:row>
                    <xdr:rowOff>0</xdr:rowOff>
                  </from>
                  <to>
                    <xdr:col>10</xdr:col>
                    <xdr:colOff>57150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ResetButton">
                <anchor moveWithCells="1" sizeWithCells="1">
                  <from>
                    <xdr:col>10</xdr:col>
                    <xdr:colOff>95250</xdr:colOff>
                    <xdr:row>3</xdr:row>
                    <xdr:rowOff>0</xdr:rowOff>
                  </from>
                  <to>
                    <xdr:col>11</xdr:col>
                    <xdr:colOff>171450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68D7-A13B-4D25-BE42-F44F94D79E7A}">
  <sheetPr codeName="Sheet2">
    <tabColor rgb="FFFFC000"/>
  </sheetPr>
  <dimension ref="A1:AH170"/>
  <sheetViews>
    <sheetView topLeftCell="A21" zoomScale="90" zoomScaleNormal="90" workbookViewId="0">
      <selection activeCell="F36" sqref="F36"/>
    </sheetView>
  </sheetViews>
  <sheetFormatPr defaultRowHeight="15"/>
  <cols>
    <col min="1" max="1" width="10.85546875" customWidth="1"/>
    <col min="7" max="7" width="11.42578125" customWidth="1"/>
    <col min="14" max="14" width="10.7109375" customWidth="1"/>
    <col min="24" max="24" width="13.28515625" customWidth="1"/>
  </cols>
  <sheetData>
    <row r="1" spans="1:34">
      <c r="A1" s="211"/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3"/>
    </row>
    <row r="2" spans="1:34">
      <c r="A2" s="65"/>
      <c r="B2" s="2"/>
      <c r="C2" s="2"/>
      <c r="D2" s="2"/>
      <c r="E2" s="2"/>
      <c r="F2" s="4" t="str">
        <f>SelectScenario!F7</f>
        <v xml:space="preserve">Selected Unit: </v>
      </c>
      <c r="G2" s="67" t="str">
        <f>SelectScenario!G7</f>
        <v>Condensing, Step-ModulatingNG Furnace</v>
      </c>
      <c r="H2" s="2"/>
      <c r="I2" s="2"/>
      <c r="J2" s="2"/>
      <c r="K2" s="2"/>
      <c r="L2" s="67" t="s">
        <v>55</v>
      </c>
      <c r="M2" s="67"/>
      <c r="N2" s="79"/>
    </row>
    <row r="3" spans="1:34">
      <c r="A3" s="65"/>
      <c r="B3" s="2"/>
      <c r="C3" s="2"/>
      <c r="D3" s="2"/>
      <c r="E3" s="2"/>
      <c r="F3" s="11" t="str">
        <f>SelectScenario!F5</f>
        <v>Select NG Furnace System Scenario</v>
      </c>
      <c r="G3" s="69">
        <f>SelectScenario!G5</f>
        <v>3</v>
      </c>
      <c r="H3" s="67"/>
      <c r="I3" s="67"/>
      <c r="J3" s="67"/>
      <c r="K3" s="67"/>
      <c r="L3" s="11" t="str">
        <f>SelectScenario!F58</f>
        <v>Post Purge</v>
      </c>
      <c r="M3" s="69" t="str">
        <f>SelectScenario!G58</f>
        <v>NO</v>
      </c>
      <c r="N3" s="68"/>
      <c r="T3" s="57"/>
      <c r="U3" s="1"/>
      <c r="AH3" s="18"/>
    </row>
    <row r="4" spans="1:34">
      <c r="A4" s="65"/>
      <c r="B4" s="2"/>
      <c r="C4" s="2"/>
      <c r="D4" s="2"/>
      <c r="E4" s="2"/>
      <c r="F4" s="11" t="str">
        <f>SelectScenario!F10</f>
        <v>Indoor Combustion Air</v>
      </c>
      <c r="G4" s="69" t="str">
        <f>SelectScenario!G10</f>
        <v>YES</v>
      </c>
      <c r="H4" s="69"/>
      <c r="I4" s="69"/>
      <c r="J4" s="69"/>
      <c r="K4" s="69"/>
      <c r="L4" s="11" t="str">
        <f>SelectScenario!F59</f>
        <v>Pilot Light</v>
      </c>
      <c r="M4" s="69" t="str">
        <f>SelectScenario!G59</f>
        <v>NO</v>
      </c>
      <c r="N4" s="70"/>
      <c r="T4" s="57"/>
      <c r="U4" s="1"/>
      <c r="AH4" s="18"/>
    </row>
    <row r="5" spans="1:34">
      <c r="A5" s="65"/>
      <c r="B5" s="2"/>
      <c r="C5" s="2"/>
      <c r="D5" s="2"/>
      <c r="E5" s="2"/>
      <c r="F5" s="11" t="str">
        <f>SelectScenario!F11</f>
        <v>Outdoor, Direct Vent or isolated Combustion System</v>
      </c>
      <c r="G5" s="69" t="str">
        <f>SelectScenario!G11</f>
        <v>NO</v>
      </c>
      <c r="H5" s="69"/>
      <c r="I5" s="69"/>
      <c r="J5" s="69"/>
      <c r="K5" s="69"/>
      <c r="L5" s="11" t="str">
        <f>SelectScenario!F60</f>
        <v>Unit</v>
      </c>
      <c r="M5" s="138" t="str">
        <f>SelectScenario!G60</f>
        <v>British-Unit</v>
      </c>
      <c r="N5" s="70"/>
      <c r="R5" s="5"/>
      <c r="T5" s="58"/>
      <c r="U5" s="59"/>
      <c r="V5" s="5"/>
      <c r="W5" s="5"/>
      <c r="X5" s="5"/>
      <c r="AH5" s="18"/>
    </row>
    <row r="6" spans="1:34">
      <c r="A6" s="65"/>
      <c r="B6" s="2"/>
      <c r="C6" s="2"/>
      <c r="D6" s="2"/>
      <c r="E6" s="2"/>
      <c r="F6" s="11" t="str">
        <f>SelectScenario!F12</f>
        <v>Direct Exhaust</v>
      </c>
      <c r="G6" s="69" t="str">
        <f>SelectScenario!G12</f>
        <v>NO</v>
      </c>
      <c r="H6" s="69"/>
      <c r="I6" s="69"/>
      <c r="J6" s="69"/>
      <c r="K6" s="69"/>
      <c r="L6" s="69"/>
      <c r="M6" s="69"/>
      <c r="N6" s="70"/>
      <c r="T6" s="57"/>
      <c r="U6" s="1"/>
      <c r="AH6" s="18"/>
    </row>
    <row r="7" spans="1:34">
      <c r="A7" s="65"/>
      <c r="B7" s="2"/>
      <c r="C7" s="2"/>
      <c r="D7" s="2"/>
      <c r="E7" s="2"/>
      <c r="F7" s="11" t="str">
        <f>SelectScenario!F13</f>
        <v>Draft Hood or Draft Diverter</v>
      </c>
      <c r="G7" s="69" t="str">
        <f>SelectScenario!G13</f>
        <v>YES</v>
      </c>
      <c r="H7" s="69"/>
      <c r="I7" s="69"/>
      <c r="J7" s="69"/>
      <c r="K7" s="69"/>
      <c r="L7" s="69"/>
      <c r="M7" s="69"/>
      <c r="N7" s="70"/>
      <c r="T7" s="57"/>
      <c r="U7" s="1"/>
      <c r="AH7" s="18"/>
    </row>
    <row r="8" spans="1:34">
      <c r="A8" s="65"/>
      <c r="B8" s="2"/>
      <c r="C8" s="2"/>
      <c r="D8" s="2"/>
      <c r="E8" s="2"/>
      <c r="F8" s="11" t="str">
        <f>SelectScenario!F14</f>
        <v>Barometric Draft</v>
      </c>
      <c r="G8" s="69" t="str">
        <f>SelectScenario!G14</f>
        <v>NO</v>
      </c>
      <c r="H8" s="69"/>
      <c r="I8" s="69"/>
      <c r="J8" s="69"/>
      <c r="K8" s="69"/>
      <c r="L8" s="69"/>
      <c r="M8" s="69"/>
      <c r="N8" s="70"/>
      <c r="T8" s="57"/>
      <c r="U8" s="1"/>
      <c r="AH8" s="18"/>
    </row>
    <row r="9" spans="1:34">
      <c r="A9" s="65"/>
      <c r="B9" s="2"/>
      <c r="C9" s="2"/>
      <c r="D9" s="2"/>
      <c r="E9" s="2"/>
      <c r="F9" s="11" t="str">
        <f>SelectScenario!F15</f>
        <v>Electrical/Mechanical Stack Damper</v>
      </c>
      <c r="G9" s="69" t="str">
        <f>SelectScenario!G15</f>
        <v>NO</v>
      </c>
      <c r="H9" s="69"/>
      <c r="I9" s="69"/>
      <c r="J9" s="69"/>
      <c r="K9" s="69"/>
      <c r="L9" s="69"/>
      <c r="M9" s="69"/>
      <c r="N9" s="70"/>
      <c r="T9" s="57"/>
      <c r="U9" s="1"/>
      <c r="AH9" s="18"/>
    </row>
    <row r="10" spans="1:34">
      <c r="A10" s="65"/>
      <c r="B10" s="2"/>
      <c r="C10" s="2"/>
      <c r="D10" s="2"/>
      <c r="E10" s="2"/>
      <c r="F10" s="11" t="str">
        <f>SelectScenario!F16</f>
        <v>Atomspheric Burner</v>
      </c>
      <c r="G10" s="69" t="str">
        <f>SelectScenario!G16</f>
        <v>NO</v>
      </c>
      <c r="H10" s="69"/>
      <c r="I10" s="69"/>
      <c r="J10" s="69"/>
      <c r="K10" s="69"/>
      <c r="L10" s="69"/>
      <c r="M10" s="69"/>
      <c r="N10" s="70"/>
      <c r="T10" s="57"/>
      <c r="U10" s="1"/>
      <c r="AH10" s="18"/>
    </row>
    <row r="11" spans="1:34">
      <c r="A11" s="65"/>
      <c r="B11" s="2"/>
      <c r="C11" s="2"/>
      <c r="D11" s="2"/>
      <c r="E11" s="2"/>
      <c r="F11" s="11" t="str">
        <f>SelectScenario!F17</f>
        <v>Power Burner</v>
      </c>
      <c r="G11" s="69" t="str">
        <f>SelectScenario!G17</f>
        <v>YES</v>
      </c>
      <c r="H11" s="69"/>
      <c r="I11" s="69"/>
      <c r="J11" s="69"/>
      <c r="K11" s="69"/>
      <c r="L11" s="69"/>
      <c r="M11" s="69"/>
      <c r="N11" s="70"/>
      <c r="T11" s="57"/>
      <c r="AH11" s="18"/>
    </row>
    <row r="12" spans="1:34">
      <c r="A12" s="65"/>
      <c r="B12" s="2"/>
      <c r="C12" s="2"/>
      <c r="D12" s="2"/>
      <c r="E12" s="2"/>
      <c r="F12" s="11" t="str">
        <f>SelectScenario!F18</f>
        <v>Burner Inlet Damper or Flue Damper</v>
      </c>
      <c r="G12" s="69" t="str">
        <f>SelectScenario!G18</f>
        <v>NO</v>
      </c>
      <c r="H12" s="69"/>
      <c r="I12" s="69"/>
      <c r="J12" s="69"/>
      <c r="K12" s="69"/>
      <c r="L12" s="69"/>
      <c r="M12" s="69"/>
      <c r="N12" s="70"/>
      <c r="AH12" s="18"/>
    </row>
    <row r="13" spans="1:34" ht="15.75" thickBot="1">
      <c r="A13" s="71"/>
      <c r="B13" s="72"/>
      <c r="C13" s="73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4"/>
      <c r="AH13" s="18"/>
    </row>
    <row r="14" spans="1:34" ht="15.75" thickBot="1">
      <c r="A14" s="2"/>
      <c r="B14" s="2"/>
      <c r="C14" s="8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Q14" s="55"/>
      <c r="AH14" s="18"/>
    </row>
    <row r="15" spans="1:34" ht="14.25" customHeight="1" thickBot="1">
      <c r="A15" s="90" t="s">
        <v>47</v>
      </c>
      <c r="B15" s="91"/>
      <c r="C15" s="91"/>
      <c r="D15" s="91"/>
      <c r="E15" s="91"/>
      <c r="F15" s="91"/>
      <c r="G15" s="91"/>
      <c r="H15" s="316"/>
      <c r="I15" s="316"/>
      <c r="J15" s="316"/>
      <c r="K15" s="316"/>
      <c r="L15" s="316"/>
      <c r="M15" s="316"/>
      <c r="N15" s="317"/>
      <c r="Q15" s="55"/>
      <c r="R15" s="17"/>
      <c r="S15" s="17"/>
      <c r="T15" s="17"/>
      <c r="AH15" s="18"/>
    </row>
    <row r="16" spans="1:34" ht="15.75">
      <c r="A16" s="62"/>
      <c r="B16" s="63"/>
      <c r="C16" s="75"/>
      <c r="D16" s="63"/>
      <c r="E16" s="63"/>
      <c r="F16" s="76" t="s">
        <v>51</v>
      </c>
      <c r="G16" s="63"/>
      <c r="H16" s="292"/>
      <c r="I16" s="292"/>
      <c r="J16" s="292"/>
      <c r="K16" s="292"/>
      <c r="L16" s="292"/>
      <c r="M16" s="297" t="s">
        <v>50</v>
      </c>
      <c r="N16" s="292"/>
      <c r="Q16" s="6"/>
      <c r="AH16" s="18"/>
    </row>
    <row r="17" spans="1:34">
      <c r="A17" s="65"/>
      <c r="B17" s="2"/>
      <c r="C17" s="8"/>
      <c r="D17" s="2"/>
      <c r="E17" s="2"/>
      <c r="F17" s="88" t="str">
        <f>IF(SelectScenario!$G$6="Non-Modulating","(The maximum parameters are required@"&amp;SelectScenario!$G$6&amp;")","The maximum parameters are required@"&amp;SelectScenario!$G$6&amp;")")</f>
        <v>The maximum parameters are required@Step-Modulating)</v>
      </c>
      <c r="G17" s="2"/>
      <c r="H17" s="292"/>
      <c r="I17" s="292"/>
      <c r="J17" s="292"/>
      <c r="K17" s="292"/>
      <c r="L17" s="292"/>
      <c r="M17" s="293" t="str">
        <f>IF(SelectScenario!$G$6="Non-Modulating","(The redcued parameters are not required@"&amp;SelectScenario!$G$6&amp;")","(The redcued parameters are required@"&amp;SelectScenario!$G$6&amp;")")</f>
        <v>(The redcued parameters are required@Step-Modulating)</v>
      </c>
      <c r="N17" s="292"/>
      <c r="Q17" s="6"/>
      <c r="R17" s="17"/>
      <c r="S17" s="17"/>
      <c r="T17" s="17"/>
      <c r="AH17" s="18"/>
    </row>
    <row r="18" spans="1:34" ht="15.75">
      <c r="A18" s="65"/>
      <c r="B18" s="2"/>
      <c r="C18" s="8"/>
      <c r="D18" s="2"/>
      <c r="E18" s="2"/>
      <c r="F18" s="87"/>
      <c r="G18" s="2"/>
      <c r="H18" s="292"/>
      <c r="I18" s="292"/>
      <c r="J18" s="292"/>
      <c r="K18" s="292"/>
      <c r="L18" s="292"/>
      <c r="M18" s="293"/>
      <c r="N18" s="292"/>
      <c r="T18" s="6"/>
      <c r="AH18" s="18"/>
    </row>
    <row r="19" spans="1:34">
      <c r="A19" s="65"/>
      <c r="B19" s="2"/>
      <c r="C19" s="8"/>
      <c r="D19" s="2"/>
      <c r="E19" s="2"/>
      <c r="F19" s="77" t="s">
        <v>39</v>
      </c>
      <c r="G19" s="2"/>
      <c r="H19" s="292"/>
      <c r="I19" s="292"/>
      <c r="J19" s="292"/>
      <c r="K19" s="292"/>
      <c r="L19" s="292"/>
      <c r="M19" s="294" t="s">
        <v>40</v>
      </c>
      <c r="N19" s="294"/>
      <c r="O19" s="1"/>
      <c r="T19" s="6"/>
      <c r="AH19" s="18"/>
    </row>
    <row r="20" spans="1:34">
      <c r="A20" s="65"/>
      <c r="B20" s="2"/>
      <c r="C20" s="8"/>
      <c r="D20" s="2"/>
      <c r="E20" s="11" t="s">
        <v>16</v>
      </c>
      <c r="F20" s="14">
        <v>1.2</v>
      </c>
      <c r="G20" s="15"/>
      <c r="H20" s="292"/>
      <c r="I20" s="292"/>
      <c r="J20" s="292"/>
      <c r="K20" s="292"/>
      <c r="L20" s="295" t="s">
        <v>16</v>
      </c>
      <c r="M20" s="298">
        <v>0</v>
      </c>
      <c r="N20" s="298"/>
      <c r="O20" s="1"/>
      <c r="AH20" s="18"/>
    </row>
    <row r="21" spans="1:34">
      <c r="A21" s="65"/>
      <c r="B21" s="2"/>
      <c r="C21" s="8"/>
      <c r="D21" s="2"/>
      <c r="E21" s="11" t="s">
        <v>15</v>
      </c>
      <c r="F21" s="61">
        <f>F20</f>
        <v>1.2</v>
      </c>
      <c r="G21" s="15" t="str">
        <f>IF(UNIT="SI-Unit","Liter/s","CFM")</f>
        <v>CFM</v>
      </c>
      <c r="H21" s="292"/>
      <c r="I21" s="292"/>
      <c r="J21" s="292"/>
      <c r="K21" s="292"/>
      <c r="L21" s="295" t="s">
        <v>15</v>
      </c>
      <c r="M21" s="296">
        <f>IF(SelectScenario!$G$6="Non-Modulating",0,M20)</f>
        <v>0</v>
      </c>
      <c r="N21" s="299" t="str">
        <f>IF(UNIT="SI-Unit","Liter/s","CFM???")</f>
        <v>CFM???</v>
      </c>
      <c r="O21" s="1"/>
      <c r="AH21" s="18"/>
    </row>
    <row r="22" spans="1:34">
      <c r="A22" s="65"/>
      <c r="B22" s="2"/>
      <c r="C22" s="8"/>
      <c r="D22" s="2"/>
      <c r="E22" s="2"/>
      <c r="F22" s="81"/>
      <c r="G22" s="15"/>
      <c r="H22" s="292"/>
      <c r="I22" s="292"/>
      <c r="J22" s="292"/>
      <c r="K22" s="292"/>
      <c r="L22" s="292"/>
      <c r="M22" s="292"/>
      <c r="N22" s="299"/>
      <c r="O22" s="1"/>
      <c r="AH22" s="18"/>
    </row>
    <row r="23" spans="1:34">
      <c r="A23" s="65"/>
      <c r="B23" s="2"/>
      <c r="C23" s="8"/>
      <c r="D23" s="2"/>
      <c r="E23" s="2"/>
      <c r="F23" s="77" t="s">
        <v>34</v>
      </c>
      <c r="G23" s="15"/>
      <c r="H23" s="292"/>
      <c r="I23" s="292"/>
      <c r="J23" s="292"/>
      <c r="K23" s="292"/>
      <c r="L23" s="292"/>
      <c r="M23" s="294" t="s">
        <v>352</v>
      </c>
      <c r="N23" s="295"/>
      <c r="O23" s="1"/>
      <c r="AH23" s="18"/>
    </row>
    <row r="24" spans="1:34">
      <c r="A24" s="65"/>
      <c r="B24" s="2"/>
      <c r="C24" s="82"/>
      <c r="D24" s="82"/>
      <c r="E24" s="11" t="s">
        <v>16</v>
      </c>
      <c r="F24" s="14">
        <v>70000</v>
      </c>
      <c r="G24" s="15"/>
      <c r="H24" s="292"/>
      <c r="I24" s="292"/>
      <c r="J24" s="292"/>
      <c r="K24" s="292"/>
      <c r="L24" s="295" t="s">
        <v>16</v>
      </c>
      <c r="M24" s="298">
        <v>0</v>
      </c>
      <c r="N24" s="298"/>
      <c r="O24" s="59"/>
      <c r="P24" s="5"/>
      <c r="Q24" s="5"/>
      <c r="R24" s="5"/>
      <c r="S24" s="5"/>
      <c r="AH24" s="18"/>
    </row>
    <row r="25" spans="1:34">
      <c r="A25" s="65"/>
      <c r="B25" s="2"/>
      <c r="C25" s="82"/>
      <c r="D25" s="82"/>
      <c r="E25" s="11" t="s">
        <v>15</v>
      </c>
      <c r="F25" s="61">
        <f>F24</f>
        <v>70000</v>
      </c>
      <c r="G25" s="15" t="str">
        <f>IF(UNIT="SI-Unit","kW","BTU/HR")</f>
        <v>BTU/HR</v>
      </c>
      <c r="H25" s="292"/>
      <c r="I25" s="292"/>
      <c r="J25" s="292"/>
      <c r="K25" s="292"/>
      <c r="L25" s="295" t="s">
        <v>15</v>
      </c>
      <c r="M25" s="296">
        <f>IF(SelectScenario!$G$6="Non-Modulating",0,M24)</f>
        <v>0</v>
      </c>
      <c r="N25" s="299" t="str">
        <f>IF(UNIT="SI-Unit","kW","BTU/HR")</f>
        <v>BTU/HR</v>
      </c>
      <c r="O25" s="59"/>
      <c r="P25" s="5"/>
      <c r="Q25" s="5"/>
      <c r="R25" s="5"/>
      <c r="S25" s="5"/>
      <c r="AH25" s="18"/>
    </row>
    <row r="26" spans="1:34">
      <c r="A26" s="65"/>
      <c r="B26" s="2"/>
      <c r="C26" s="82"/>
      <c r="D26" s="82"/>
      <c r="E26" s="11"/>
      <c r="F26" s="60"/>
      <c r="G26" s="15"/>
      <c r="H26" s="292"/>
      <c r="I26" s="292"/>
      <c r="J26" s="292"/>
      <c r="K26" s="292"/>
      <c r="L26" s="292"/>
      <c r="M26" s="292"/>
      <c r="N26" s="299"/>
      <c r="O26" s="59"/>
      <c r="P26" s="5"/>
      <c r="Q26" s="5"/>
      <c r="R26" s="5"/>
      <c r="S26" s="5"/>
      <c r="AH26" s="18"/>
    </row>
    <row r="27" spans="1:34">
      <c r="A27" s="65"/>
      <c r="B27" s="2"/>
      <c r="C27" s="2"/>
      <c r="D27" s="2"/>
      <c r="E27" s="2"/>
      <c r="F27" s="77" t="s">
        <v>41</v>
      </c>
      <c r="G27" s="15"/>
      <c r="H27" s="292"/>
      <c r="I27" s="292"/>
      <c r="J27" s="292"/>
      <c r="K27" s="292"/>
      <c r="L27" s="292"/>
      <c r="M27" s="294" t="s">
        <v>38</v>
      </c>
      <c r="N27" s="295"/>
      <c r="O27" s="1"/>
      <c r="AH27" s="18"/>
    </row>
    <row r="28" spans="1:34">
      <c r="A28" s="65"/>
      <c r="B28" s="2"/>
      <c r="C28" s="2"/>
      <c r="D28" s="2"/>
      <c r="E28" s="11" t="s">
        <v>16</v>
      </c>
      <c r="F28" s="14">
        <v>3068</v>
      </c>
      <c r="G28" s="15"/>
      <c r="H28" s="292"/>
      <c r="I28" s="292"/>
      <c r="J28" s="292"/>
      <c r="K28" s="292"/>
      <c r="L28" s="295" t="s">
        <v>16</v>
      </c>
      <c r="M28" s="298">
        <v>0</v>
      </c>
      <c r="N28" s="298"/>
      <c r="O28" s="1"/>
      <c r="AH28" s="18"/>
    </row>
    <row r="29" spans="1:34">
      <c r="A29" s="65"/>
      <c r="B29" s="2"/>
      <c r="C29" s="2"/>
      <c r="D29" s="2"/>
      <c r="E29" s="11" t="s">
        <v>15</v>
      </c>
      <c r="F29" s="61">
        <f>F28</f>
        <v>3068</v>
      </c>
      <c r="G29" s="15" t="str">
        <f>IF(UNIT="SI-Unit","kW","BTU/HR")</f>
        <v>BTU/HR</v>
      </c>
      <c r="H29" s="292"/>
      <c r="I29" s="292"/>
      <c r="J29" s="292"/>
      <c r="K29" s="292"/>
      <c r="L29" s="295" t="s">
        <v>15</v>
      </c>
      <c r="M29" s="296">
        <f>IF(SelectScenario!$G$6="Non-Modulating",0,M28)</f>
        <v>0</v>
      </c>
      <c r="N29" s="299" t="str">
        <f>IF(UNIT="SI-Unit","kW","BTU/HR")</f>
        <v>BTU/HR</v>
      </c>
      <c r="O29" s="1"/>
      <c r="AH29" s="18"/>
    </row>
    <row r="30" spans="1:34">
      <c r="A30" s="65"/>
      <c r="B30" s="2"/>
      <c r="C30" s="2"/>
      <c r="D30" s="2"/>
      <c r="E30" s="2"/>
      <c r="F30" s="81"/>
      <c r="G30" s="15"/>
      <c r="H30" s="292"/>
      <c r="I30" s="292"/>
      <c r="J30" s="292"/>
      <c r="K30" s="292"/>
      <c r="L30" s="292"/>
      <c r="M30" s="292"/>
      <c r="N30" s="299"/>
      <c r="O30" s="1"/>
      <c r="AH30" s="18"/>
    </row>
    <row r="31" spans="1:34">
      <c r="A31" s="65"/>
      <c r="B31" s="2"/>
      <c r="C31" s="2"/>
      <c r="D31" s="2"/>
      <c r="E31" s="2"/>
      <c r="F31" s="77" t="s">
        <v>42</v>
      </c>
      <c r="G31" s="15"/>
      <c r="H31" s="292"/>
      <c r="I31" s="292"/>
      <c r="J31" s="292"/>
      <c r="K31" s="292"/>
      <c r="L31" s="292"/>
      <c r="M31" s="294" t="s">
        <v>353</v>
      </c>
      <c r="N31" s="295"/>
      <c r="O31" s="1"/>
      <c r="AH31" s="18"/>
    </row>
    <row r="32" spans="1:34">
      <c r="A32" s="65"/>
      <c r="B32" s="2"/>
      <c r="C32" s="2"/>
      <c r="D32" s="2"/>
      <c r="E32" s="11" t="s">
        <v>16</v>
      </c>
      <c r="F32" s="14">
        <v>350</v>
      </c>
      <c r="G32" s="15"/>
      <c r="H32" s="292"/>
      <c r="I32" s="292"/>
      <c r="J32" s="292"/>
      <c r="K32" s="292"/>
      <c r="L32" s="295" t="s">
        <v>16</v>
      </c>
      <c r="M32" s="298">
        <v>300</v>
      </c>
      <c r="N32" s="298"/>
      <c r="O32" s="1"/>
      <c r="AH32" s="18"/>
    </row>
    <row r="33" spans="1:34">
      <c r="A33" s="65"/>
      <c r="B33" s="2"/>
      <c r="C33" s="2"/>
      <c r="D33" s="2"/>
      <c r="E33" s="11" t="s">
        <v>15</v>
      </c>
      <c r="F33" s="61">
        <f>F32</f>
        <v>350</v>
      </c>
      <c r="G33" s="15" t="str">
        <f>IF(UNIT="SI-Unit","C-Degree","F-Degree")</f>
        <v>F-Degree</v>
      </c>
      <c r="H33" s="292"/>
      <c r="I33" s="292"/>
      <c r="J33" s="292"/>
      <c r="K33" s="292"/>
      <c r="L33" s="295" t="s">
        <v>15</v>
      </c>
      <c r="M33" s="296">
        <f>IF(SelectScenario!$G$6="Non-Modulating",0,M32)</f>
        <v>300</v>
      </c>
      <c r="N33" s="299" t="str">
        <f>IF(UNIT="SI-Unit","C-Degree","F-Degree")</f>
        <v>F-Degree</v>
      </c>
    </row>
    <row r="34" spans="1:34">
      <c r="A34" s="65"/>
      <c r="B34" s="2"/>
      <c r="C34" s="2"/>
      <c r="D34" s="2"/>
      <c r="E34" s="11"/>
      <c r="F34" s="60"/>
      <c r="G34" s="15"/>
      <c r="H34" s="292"/>
      <c r="I34" s="292"/>
      <c r="J34" s="292"/>
      <c r="K34" s="292"/>
      <c r="L34" s="292"/>
      <c r="M34" s="292"/>
      <c r="N34" s="299"/>
    </row>
    <row r="35" spans="1:34">
      <c r="A35" s="65"/>
      <c r="B35" s="2"/>
      <c r="C35" s="2"/>
      <c r="D35" s="2"/>
      <c r="E35" s="2"/>
      <c r="F35" s="77" t="s">
        <v>400</v>
      </c>
      <c r="G35" s="15"/>
      <c r="H35" s="292"/>
      <c r="I35" s="292"/>
      <c r="J35" s="292"/>
      <c r="K35" s="292"/>
      <c r="L35" s="292"/>
      <c r="M35" s="294" t="s">
        <v>354</v>
      </c>
      <c r="N35" s="299"/>
    </row>
    <row r="36" spans="1:34">
      <c r="A36" s="65"/>
      <c r="B36" s="2"/>
      <c r="C36" s="2"/>
      <c r="D36" s="2"/>
      <c r="E36" s="11" t="s">
        <v>16</v>
      </c>
      <c r="F36" s="14">
        <v>330</v>
      </c>
      <c r="G36" s="15"/>
      <c r="H36" s="292"/>
      <c r="I36" s="292"/>
      <c r="J36" s="292"/>
      <c r="K36" s="292"/>
      <c r="L36" s="295" t="s">
        <v>16</v>
      </c>
      <c r="M36" s="298">
        <v>300</v>
      </c>
      <c r="N36" s="299"/>
    </row>
    <row r="37" spans="1:34" ht="15.75" thickBot="1">
      <c r="A37" s="65"/>
      <c r="B37" s="2"/>
      <c r="C37" s="2"/>
      <c r="D37" s="2"/>
      <c r="E37" s="11" t="s">
        <v>15</v>
      </c>
      <c r="F37" s="61">
        <f>F36</f>
        <v>330</v>
      </c>
      <c r="G37" s="15" t="str">
        <f>IF(UNIT="SI-Unit","C-Degree","F-Degree")</f>
        <v>F-Degree</v>
      </c>
      <c r="H37" s="292"/>
      <c r="I37" s="292"/>
      <c r="J37" s="292"/>
      <c r="K37" s="292"/>
      <c r="L37" s="295" t="s">
        <v>15</v>
      </c>
      <c r="M37" s="296">
        <f>IF(SelectScenario!$G$6="Non-Modulating",0,M36)</f>
        <v>300</v>
      </c>
      <c r="N37" s="299" t="str">
        <f>IF(UNIT="SI-Unit","C-Degree","F-Degree")</f>
        <v>F-Degree</v>
      </c>
    </row>
    <row r="38" spans="1:34" ht="15.75" thickBot="1">
      <c r="A38" s="65"/>
      <c r="B38" s="2"/>
      <c r="C38" s="2"/>
      <c r="D38" s="2"/>
      <c r="E38" s="11"/>
      <c r="F38" s="60"/>
      <c r="G38" s="15"/>
      <c r="H38" s="292"/>
      <c r="I38" s="292"/>
      <c r="J38" s="292"/>
      <c r="K38" s="292"/>
      <c r="L38" s="292"/>
      <c r="M38" s="292"/>
      <c r="N38" s="299"/>
      <c r="P38" s="139"/>
      <c r="Q38" s="140"/>
      <c r="R38" s="140"/>
      <c r="S38" s="140"/>
      <c r="T38" s="140"/>
      <c r="U38" s="140"/>
      <c r="V38" s="140"/>
      <c r="W38" s="154"/>
      <c r="X38" s="174" t="s">
        <v>179</v>
      </c>
    </row>
    <row r="39" spans="1:34">
      <c r="A39" s="65"/>
      <c r="B39" s="2"/>
      <c r="C39" s="2"/>
      <c r="D39" s="2"/>
      <c r="E39" s="11"/>
      <c r="F39" s="77" t="s">
        <v>48</v>
      </c>
      <c r="G39" s="15"/>
      <c r="H39" s="292"/>
      <c r="I39" s="292"/>
      <c r="J39" s="292"/>
      <c r="K39" s="292"/>
      <c r="L39" s="292"/>
      <c r="M39" s="294" t="s">
        <v>355</v>
      </c>
      <c r="N39" s="295"/>
      <c r="P39" s="65"/>
      <c r="Q39" s="2"/>
      <c r="R39" s="2"/>
      <c r="S39" s="2"/>
      <c r="T39" s="2"/>
      <c r="U39" s="2"/>
      <c r="V39" s="2"/>
      <c r="W39" s="8" t="s">
        <v>145</v>
      </c>
      <c r="X39" s="79"/>
    </row>
    <row r="40" spans="1:34">
      <c r="A40" s="65"/>
      <c r="B40" s="2"/>
      <c r="C40" s="2"/>
      <c r="D40" s="2"/>
      <c r="E40" s="11" t="s">
        <v>16</v>
      </c>
      <c r="F40" s="14">
        <v>8.8000000000000007</v>
      </c>
      <c r="G40" s="15"/>
      <c r="H40" s="292"/>
      <c r="I40" s="292"/>
      <c r="J40" s="292"/>
      <c r="K40" s="292"/>
      <c r="L40" s="295" t="s">
        <v>16</v>
      </c>
      <c r="M40" s="298">
        <v>0</v>
      </c>
      <c r="N40" s="298"/>
      <c r="P40" s="65"/>
      <c r="Q40" s="2"/>
      <c r="R40" s="2"/>
      <c r="S40" s="2"/>
      <c r="T40" s="2"/>
      <c r="U40" s="2"/>
      <c r="V40" s="2"/>
      <c r="W40" s="84" t="str">
        <f>IF(OR(SYSTEMNUMBER=5,SYSTEMNUMBER=6,SYSTEMNUMBER=8),"(The stack parameters are required for the system "&amp;SYSTEMNUMBER&amp;")","(The stack parameters are not required)")</f>
        <v>(The stack parameters are not required)</v>
      </c>
      <c r="X40" s="79"/>
    </row>
    <row r="41" spans="1:34">
      <c r="A41" s="65"/>
      <c r="B41" s="2"/>
      <c r="C41" s="2"/>
      <c r="D41" s="2"/>
      <c r="E41" s="11" t="s">
        <v>15</v>
      </c>
      <c r="F41" s="61">
        <f>F40</f>
        <v>8.8000000000000007</v>
      </c>
      <c r="G41" s="15" t="s">
        <v>93</v>
      </c>
      <c r="H41" s="292"/>
      <c r="I41" s="292"/>
      <c r="J41" s="292"/>
      <c r="K41" s="292"/>
      <c r="L41" s="295" t="s">
        <v>15</v>
      </c>
      <c r="M41" s="296">
        <f>IF(SelectScenario!$G$6="Non-Modulating",0,M40)</f>
        <v>0</v>
      </c>
      <c r="N41" s="300" t="s">
        <v>93</v>
      </c>
      <c r="O41" s="1"/>
      <c r="P41" s="65"/>
      <c r="Q41" s="2"/>
      <c r="R41" s="2"/>
      <c r="S41" s="2"/>
      <c r="T41" s="2"/>
      <c r="U41" s="2"/>
      <c r="V41" s="2"/>
      <c r="W41" s="2"/>
      <c r="X41" s="79"/>
      <c r="AH41" s="18"/>
    </row>
    <row r="42" spans="1:34">
      <c r="A42" s="65"/>
      <c r="B42" s="2"/>
      <c r="C42" s="2"/>
      <c r="D42" s="2"/>
      <c r="E42" s="11"/>
      <c r="F42" s="60"/>
      <c r="G42" s="15"/>
      <c r="H42" s="292"/>
      <c r="I42" s="292"/>
      <c r="J42" s="292"/>
      <c r="K42" s="292"/>
      <c r="L42" s="295"/>
      <c r="M42" s="296"/>
      <c r="N42" s="300"/>
      <c r="O42" s="1"/>
      <c r="P42" s="65"/>
      <c r="Q42" s="15"/>
      <c r="R42" s="11" t="s">
        <v>192</v>
      </c>
      <c r="S42" s="2"/>
      <c r="T42" s="2"/>
      <c r="U42" s="2"/>
      <c r="V42" s="2"/>
      <c r="W42" s="11" t="s">
        <v>131</v>
      </c>
      <c r="X42" s="131"/>
      <c r="AH42" s="18"/>
    </row>
    <row r="43" spans="1:34">
      <c r="A43" s="65"/>
      <c r="B43" s="2"/>
      <c r="C43" s="2"/>
      <c r="D43" s="2"/>
      <c r="E43" s="11"/>
      <c r="F43" s="77" t="s">
        <v>64</v>
      </c>
      <c r="G43" s="15"/>
      <c r="H43" s="292"/>
      <c r="I43" s="292"/>
      <c r="J43" s="292"/>
      <c r="K43" s="292"/>
      <c r="L43" s="292"/>
      <c r="M43" s="294" t="s">
        <v>356</v>
      </c>
      <c r="N43" s="301"/>
      <c r="P43" s="65"/>
      <c r="Q43" s="11" t="s">
        <v>190</v>
      </c>
      <c r="R43" s="130">
        <v>1</v>
      </c>
      <c r="S43" s="2" t="s">
        <v>117</v>
      </c>
      <c r="T43" s="2"/>
      <c r="U43" s="2"/>
      <c r="V43" s="8" t="s">
        <v>132</v>
      </c>
      <c r="W43" s="130">
        <v>36</v>
      </c>
      <c r="X43" s="131" t="str">
        <f>IF(UNIT="SI-Unit","cm2","in2")</f>
        <v>in2</v>
      </c>
    </row>
    <row r="44" spans="1:34">
      <c r="A44" s="65"/>
      <c r="B44" s="2"/>
      <c r="C44" s="2"/>
      <c r="D44" s="2"/>
      <c r="E44" s="11" t="s">
        <v>16</v>
      </c>
      <c r="F44" s="14">
        <v>8.8000000000000007</v>
      </c>
      <c r="G44" s="15"/>
      <c r="H44" s="292"/>
      <c r="I44" s="292"/>
      <c r="J44" s="292"/>
      <c r="K44" s="292"/>
      <c r="L44" s="295" t="s">
        <v>16</v>
      </c>
      <c r="M44" s="298">
        <v>0</v>
      </c>
      <c r="N44" s="301"/>
      <c r="P44" s="65"/>
      <c r="Q44" s="15"/>
      <c r="R44" s="15"/>
      <c r="S44" s="2"/>
      <c r="T44" s="2"/>
      <c r="U44" s="2"/>
      <c r="V44" s="2"/>
      <c r="W44" s="15"/>
      <c r="X44" s="131"/>
    </row>
    <row r="45" spans="1:34">
      <c r="A45" s="65"/>
      <c r="B45" s="2"/>
      <c r="C45" s="2"/>
      <c r="D45" s="2"/>
      <c r="E45" s="11" t="s">
        <v>15</v>
      </c>
      <c r="F45" s="61">
        <f>F44</f>
        <v>8.8000000000000007</v>
      </c>
      <c r="G45" s="15" t="s">
        <v>93</v>
      </c>
      <c r="H45" s="292"/>
      <c r="I45" s="292"/>
      <c r="J45" s="292"/>
      <c r="K45" s="292"/>
      <c r="L45" s="295" t="s">
        <v>15</v>
      </c>
      <c r="M45" s="296">
        <f>IF(SelectScenario!$G$6="Non-Modulating",0,M44)</f>
        <v>0</v>
      </c>
      <c r="N45" s="300" t="s">
        <v>93</v>
      </c>
      <c r="O45" s="1"/>
      <c r="P45" s="65"/>
      <c r="Q45" s="15"/>
      <c r="R45" s="11" t="s">
        <v>193</v>
      </c>
      <c r="S45" s="2"/>
      <c r="T45" s="2"/>
      <c r="U45" s="2"/>
      <c r="V45" s="2"/>
      <c r="W45" s="11" t="s">
        <v>133</v>
      </c>
      <c r="X45" s="131"/>
      <c r="AH45" s="18"/>
    </row>
    <row r="46" spans="1:34" ht="18">
      <c r="A46" s="65"/>
      <c r="B46" s="2"/>
      <c r="C46" s="2"/>
      <c r="D46" s="2"/>
      <c r="E46" s="11"/>
      <c r="F46" s="60"/>
      <c r="G46" s="15"/>
      <c r="H46" s="292"/>
      <c r="I46" s="292"/>
      <c r="J46" s="292"/>
      <c r="K46" s="292"/>
      <c r="L46" s="295"/>
      <c r="M46" s="296"/>
      <c r="N46" s="296"/>
      <c r="O46" s="1"/>
      <c r="P46" s="65"/>
      <c r="Q46" s="11" t="s">
        <v>191</v>
      </c>
      <c r="R46" s="130">
        <v>5</v>
      </c>
      <c r="S46" s="2" t="s">
        <v>117</v>
      </c>
      <c r="T46" s="2"/>
      <c r="U46" s="2"/>
      <c r="V46" s="8" t="s">
        <v>134</v>
      </c>
      <c r="W46" s="130">
        <v>36</v>
      </c>
      <c r="X46" s="131" t="str">
        <f>IF(UNIT="SI-Unit","cm2","in2")</f>
        <v>in2</v>
      </c>
      <c r="AH46" s="18"/>
    </row>
    <row r="47" spans="1:34">
      <c r="A47" s="65"/>
      <c r="B47" s="2"/>
      <c r="C47" s="2"/>
      <c r="D47" s="2"/>
      <c r="E47" s="2"/>
      <c r="F47" s="77" t="s">
        <v>45</v>
      </c>
      <c r="G47" s="15"/>
      <c r="H47" s="292"/>
      <c r="I47" s="292"/>
      <c r="J47" s="292"/>
      <c r="K47" s="292"/>
      <c r="L47" s="292"/>
      <c r="M47" s="294" t="s">
        <v>46</v>
      </c>
      <c r="N47" s="295"/>
      <c r="O47" s="1"/>
      <c r="P47" s="65"/>
      <c r="Q47" s="2"/>
      <c r="R47" s="2"/>
      <c r="S47" s="2"/>
      <c r="T47" s="2"/>
      <c r="U47" s="2"/>
      <c r="V47" s="2"/>
      <c r="W47" s="15"/>
      <c r="X47" s="131"/>
      <c r="AH47" s="18"/>
    </row>
    <row r="48" spans="1:34">
      <c r="A48" s="65"/>
      <c r="B48" s="2"/>
      <c r="C48" s="2"/>
      <c r="D48" s="2"/>
      <c r="E48" s="2"/>
      <c r="F48" s="11" t="str">
        <f>IF(DATAINPUTncnm!$G$5="(Condensing","Note: Measured condensate is required)","(Note: Measured condensate is not required)")</f>
        <v>(Note: Measured condensate is not required)</v>
      </c>
      <c r="G48" s="15"/>
      <c r="H48" s="292"/>
      <c r="I48" s="292"/>
      <c r="J48" s="292"/>
      <c r="K48" s="292"/>
      <c r="L48" s="292"/>
      <c r="M48" s="295" t="str">
        <f>IF(DATAINPUTncnm!$G$5="(Condensing","Note: Measured condensate is required)","(Note: Measured condensate is not required)")</f>
        <v>(Note: Measured condensate is not required)</v>
      </c>
      <c r="N48" s="295"/>
      <c r="O48" s="1"/>
      <c r="P48" s="65"/>
      <c r="Q48" s="2"/>
      <c r="R48" s="2"/>
      <c r="S48" s="2"/>
      <c r="T48" s="2"/>
      <c r="U48" s="2"/>
      <c r="V48" s="2"/>
      <c r="W48" s="11" t="s">
        <v>136</v>
      </c>
      <c r="X48" s="131"/>
      <c r="AH48" s="18"/>
    </row>
    <row r="49" spans="1:34" ht="18">
      <c r="A49" s="65"/>
      <c r="B49" s="2"/>
      <c r="C49" s="2"/>
      <c r="D49" s="2"/>
      <c r="E49" s="11" t="s">
        <v>16</v>
      </c>
      <c r="F49" s="14">
        <v>0</v>
      </c>
      <c r="G49" s="15"/>
      <c r="H49" s="292"/>
      <c r="I49" s="292"/>
      <c r="J49" s="292"/>
      <c r="K49" s="292"/>
      <c r="L49" s="295" t="s">
        <v>16</v>
      </c>
      <c r="M49" s="298">
        <v>0</v>
      </c>
      <c r="N49" s="298"/>
      <c r="O49" s="1"/>
      <c r="P49" s="65"/>
      <c r="Q49" s="2"/>
      <c r="R49" s="2"/>
      <c r="S49" s="2"/>
      <c r="T49" s="2"/>
      <c r="U49" s="2"/>
      <c r="V49" s="8" t="s">
        <v>137</v>
      </c>
      <c r="W49" s="130">
        <v>2</v>
      </c>
      <c r="X49" s="131" t="str">
        <f>IF(UNIT="SI-Unit","cm2","in2")</f>
        <v>in2</v>
      </c>
      <c r="AH49" s="18"/>
    </row>
    <row r="50" spans="1:34">
      <c r="A50" s="65"/>
      <c r="B50" s="2"/>
      <c r="C50" s="2"/>
      <c r="E50" s="11" t="s">
        <v>15</v>
      </c>
      <c r="F50" s="61">
        <f>IF(SelectScenario!$G$4="Condensing",DATAINPUTncnm!F49,0)</f>
        <v>0</v>
      </c>
      <c r="G50" s="15" t="str">
        <f>IF(UNIT="SI-Unit","KG/HR","LB/HR")</f>
        <v>LB/HR</v>
      </c>
      <c r="H50" s="292"/>
      <c r="I50" s="292"/>
      <c r="J50" s="292"/>
      <c r="K50" s="292"/>
      <c r="L50" s="295" t="s">
        <v>15</v>
      </c>
      <c r="M50" s="296">
        <f>IF(SelectScenario!$G$6="Non-Modulating",0,M49)</f>
        <v>0</v>
      </c>
      <c r="N50" s="299" t="str">
        <f>IF(UNIT="SI-Unit","KG/HR","LD/HR")</f>
        <v>LD/HR</v>
      </c>
      <c r="O50" s="1"/>
      <c r="P50" s="65"/>
      <c r="Q50" s="2"/>
      <c r="R50" s="2"/>
      <c r="S50" s="2"/>
      <c r="T50" s="2"/>
      <c r="U50" s="2"/>
      <c r="V50" s="2"/>
      <c r="W50" s="15"/>
      <c r="X50" s="131"/>
      <c r="AH50" s="18"/>
    </row>
    <row r="51" spans="1:34">
      <c r="A51" s="65"/>
      <c r="B51" s="2"/>
      <c r="C51" s="2"/>
      <c r="D51" s="2"/>
      <c r="E51" s="11"/>
      <c r="F51" s="60"/>
      <c r="G51" s="15"/>
      <c r="H51" s="292"/>
      <c r="I51" s="292"/>
      <c r="J51" s="292"/>
      <c r="K51" s="292"/>
      <c r="L51" s="295"/>
      <c r="M51" s="296"/>
      <c r="N51" s="296"/>
      <c r="O51" s="1"/>
      <c r="P51" s="65"/>
      <c r="Q51" s="2"/>
      <c r="R51" s="2"/>
      <c r="S51" s="2"/>
      <c r="T51" s="2"/>
      <c r="U51" s="2"/>
      <c r="V51" s="2"/>
      <c r="W51" s="11" t="s">
        <v>138</v>
      </c>
      <c r="X51" s="131"/>
      <c r="AH51" s="18"/>
    </row>
    <row r="52" spans="1:34" ht="18">
      <c r="A52" s="65"/>
      <c r="B52" s="2"/>
      <c r="C52" s="2"/>
      <c r="D52" s="2"/>
      <c r="E52" s="11"/>
      <c r="F52" s="77" t="s">
        <v>63</v>
      </c>
      <c r="G52" s="15"/>
      <c r="H52" s="292"/>
      <c r="I52" s="292"/>
      <c r="J52" s="292"/>
      <c r="K52" s="292"/>
      <c r="L52" s="295"/>
      <c r="M52" s="294" t="s">
        <v>63</v>
      </c>
      <c r="N52" s="296"/>
      <c r="O52" s="1"/>
      <c r="P52" s="65"/>
      <c r="Q52" s="2"/>
      <c r="R52" s="2"/>
      <c r="S52" s="2"/>
      <c r="T52" s="2"/>
      <c r="U52" s="2"/>
      <c r="V52" s="8" t="s">
        <v>142</v>
      </c>
      <c r="W52" s="130">
        <v>2</v>
      </c>
      <c r="X52" s="131" t="str">
        <f>IF(UNIT="SI-Unit","cm2","in2")</f>
        <v>in2</v>
      </c>
      <c r="AH52" s="18"/>
    </row>
    <row r="53" spans="1:34">
      <c r="A53" s="65"/>
      <c r="B53" s="2"/>
      <c r="C53" s="2"/>
      <c r="D53" s="2"/>
      <c r="E53" s="2"/>
      <c r="F53" s="14">
        <v>85</v>
      </c>
      <c r="G53" s="15"/>
      <c r="H53" s="292"/>
      <c r="I53" s="292"/>
      <c r="J53" s="292"/>
      <c r="K53" s="292"/>
      <c r="L53" s="292"/>
      <c r="M53" s="298">
        <v>70</v>
      </c>
      <c r="N53" s="299"/>
      <c r="P53" s="65"/>
      <c r="Q53" s="2"/>
      <c r="R53" s="2"/>
      <c r="S53" s="2"/>
      <c r="T53" s="2"/>
      <c r="U53" s="2"/>
      <c r="V53" s="2"/>
      <c r="W53" s="15"/>
      <c r="X53" s="131"/>
    </row>
    <row r="54" spans="1:34">
      <c r="A54" s="65"/>
      <c r="B54" s="2"/>
      <c r="C54" s="2"/>
      <c r="D54" s="2"/>
      <c r="E54" s="2"/>
      <c r="F54" s="61">
        <f>F53</f>
        <v>85</v>
      </c>
      <c r="G54" s="15" t="str">
        <f>IF(UNIT="SI-Unit","C-Degree","F-Degree")</f>
        <v>F-Degree</v>
      </c>
      <c r="H54" s="292"/>
      <c r="I54" s="292"/>
      <c r="J54" s="292"/>
      <c r="K54" s="292"/>
      <c r="L54" s="292"/>
      <c r="M54" s="296">
        <f>M53</f>
        <v>70</v>
      </c>
      <c r="N54" s="299" t="str">
        <f>IF(UNIT="SI-Unit","C-Degree","F-Degree")</f>
        <v>F-Degree</v>
      </c>
      <c r="P54" s="65"/>
      <c r="Q54" s="2"/>
      <c r="R54" s="2"/>
      <c r="S54" s="2"/>
      <c r="T54" s="2"/>
      <c r="U54" s="2"/>
      <c r="V54" s="2"/>
      <c r="W54" s="11" t="s">
        <v>139</v>
      </c>
      <c r="X54" s="131"/>
    </row>
    <row r="55" spans="1:34">
      <c r="A55" s="65"/>
      <c r="B55" s="2"/>
      <c r="C55" s="2"/>
      <c r="D55" s="2"/>
      <c r="E55" s="2"/>
      <c r="F55" s="60"/>
      <c r="G55" s="15"/>
      <c r="H55" s="292"/>
      <c r="I55" s="292"/>
      <c r="J55" s="292"/>
      <c r="K55" s="292"/>
      <c r="L55" s="292"/>
      <c r="M55" s="292"/>
      <c r="N55" s="299"/>
      <c r="P55" s="65"/>
      <c r="Q55" s="2"/>
      <c r="R55" s="2"/>
      <c r="S55" s="2"/>
      <c r="T55" s="2"/>
      <c r="U55" s="2"/>
      <c r="V55" s="141" t="s">
        <v>140</v>
      </c>
      <c r="W55" s="130">
        <v>90</v>
      </c>
      <c r="X55" s="131" t="s">
        <v>143</v>
      </c>
    </row>
    <row r="56" spans="1:34">
      <c r="A56" s="65"/>
      <c r="B56" s="2"/>
      <c r="C56" s="2"/>
      <c r="D56" s="2"/>
      <c r="E56" s="2"/>
      <c r="F56" s="77" t="s">
        <v>49</v>
      </c>
      <c r="G56" s="15"/>
      <c r="H56" s="292"/>
      <c r="I56" s="292"/>
      <c r="J56" s="292"/>
      <c r="K56" s="292"/>
      <c r="L56" s="292"/>
      <c r="M56" s="292"/>
      <c r="N56" s="292"/>
      <c r="O56" s="1"/>
      <c r="P56" s="65"/>
      <c r="Q56" s="2"/>
      <c r="R56" s="2"/>
      <c r="S56" s="2"/>
      <c r="T56" s="2"/>
      <c r="U56" s="2"/>
      <c r="V56" s="2"/>
      <c r="W56" s="15"/>
      <c r="X56" s="131"/>
      <c r="AH56" s="18"/>
    </row>
    <row r="57" spans="1:34">
      <c r="A57" s="65"/>
      <c r="B57" s="2"/>
      <c r="C57" s="2"/>
      <c r="D57" s="2"/>
      <c r="E57" s="11" t="s">
        <v>16</v>
      </c>
      <c r="F57" s="14">
        <v>70</v>
      </c>
      <c r="G57" s="15"/>
      <c r="H57" s="292"/>
      <c r="I57" s="292"/>
      <c r="J57" s="292"/>
      <c r="K57" s="292"/>
      <c r="L57" s="292"/>
      <c r="M57" s="292"/>
      <c r="N57" s="293"/>
      <c r="O57" s="1"/>
      <c r="P57" s="65"/>
      <c r="Q57" s="2"/>
      <c r="R57" s="2"/>
      <c r="S57" s="2"/>
      <c r="T57" s="2"/>
      <c r="U57" s="2"/>
      <c r="V57" s="2"/>
      <c r="W57" s="11" t="s">
        <v>135</v>
      </c>
      <c r="X57" s="131"/>
      <c r="AH57" s="18"/>
    </row>
    <row r="58" spans="1:34" ht="18">
      <c r="A58" s="65"/>
      <c r="B58" s="2"/>
      <c r="C58" s="2"/>
      <c r="D58" s="2"/>
      <c r="E58" s="11" t="s">
        <v>15</v>
      </c>
      <c r="F58" s="61">
        <f>F57</f>
        <v>70</v>
      </c>
      <c r="G58" s="15" t="str">
        <f>IF(UNIT="SI-Unit","C-Degree","F-Degree")</f>
        <v>F-Degree</v>
      </c>
      <c r="H58" s="292"/>
      <c r="I58" s="292"/>
      <c r="J58" s="292"/>
      <c r="K58" s="292"/>
      <c r="L58" s="292"/>
      <c r="M58" s="292"/>
      <c r="N58" s="292"/>
      <c r="O58" s="1"/>
      <c r="P58" s="65"/>
      <c r="Q58" s="2"/>
      <c r="R58" s="2"/>
      <c r="S58" s="2"/>
      <c r="T58" s="2"/>
      <c r="U58" s="2"/>
      <c r="V58" s="8" t="s">
        <v>141</v>
      </c>
      <c r="W58" s="143">
        <f>W49*COS(W55*3.14/180)+W52</f>
        <v>2.0015926534214663</v>
      </c>
      <c r="X58" s="131" t="str">
        <f>IF(UNIT="SI-Unit","cm2","in2")</f>
        <v>in2</v>
      </c>
      <c r="AH58" s="18"/>
    </row>
    <row r="59" spans="1:34" ht="15.75" thickBot="1">
      <c r="A59" s="71"/>
      <c r="B59" s="72"/>
      <c r="C59" s="72"/>
      <c r="D59" s="72"/>
      <c r="E59" s="72"/>
      <c r="F59" s="83"/>
      <c r="G59" s="72"/>
      <c r="H59" s="292"/>
      <c r="I59" s="292"/>
      <c r="J59" s="292"/>
      <c r="K59" s="292"/>
      <c r="L59" s="292"/>
      <c r="M59" s="292"/>
      <c r="N59" s="292"/>
      <c r="O59" s="1"/>
      <c r="P59" s="71"/>
      <c r="Q59" s="72"/>
      <c r="R59" s="72"/>
      <c r="S59" s="72"/>
      <c r="T59" s="72"/>
      <c r="U59" s="72"/>
      <c r="V59" s="72"/>
      <c r="W59" s="72"/>
      <c r="X59" s="74"/>
      <c r="AH59" s="18"/>
    </row>
    <row r="60" spans="1:34" ht="15.75" thickBot="1">
      <c r="A60" s="2"/>
      <c r="B60" s="2"/>
      <c r="C60" s="2"/>
      <c r="D60" s="2"/>
      <c r="E60" s="2"/>
      <c r="F60" s="81"/>
      <c r="G60" s="2"/>
      <c r="H60" s="2"/>
      <c r="I60" s="2"/>
      <c r="J60" s="2"/>
      <c r="K60" s="2"/>
      <c r="L60" s="2"/>
      <c r="M60" s="2"/>
      <c r="N60" s="2"/>
      <c r="O60" s="1"/>
      <c r="AH60" s="18"/>
    </row>
    <row r="61" spans="1:34" ht="16.5" thickBot="1">
      <c r="A61" s="95" t="s">
        <v>25</v>
      </c>
      <c r="B61" s="95"/>
      <c r="C61" s="96"/>
      <c r="D61" s="96"/>
      <c r="E61" s="96"/>
      <c r="F61" s="97"/>
      <c r="G61" s="96"/>
      <c r="H61" s="305"/>
      <c r="I61" s="305"/>
      <c r="J61" s="305"/>
      <c r="K61" s="305"/>
      <c r="L61" s="305"/>
      <c r="M61" s="305"/>
      <c r="N61" s="306"/>
      <c r="P61" s="139"/>
      <c r="Q61" s="140"/>
      <c r="R61" s="140"/>
      <c r="S61" s="140"/>
      <c r="T61" s="140"/>
      <c r="U61" s="140"/>
      <c r="V61" s="140"/>
      <c r="W61" s="178" t="s">
        <v>182</v>
      </c>
      <c r="X61" s="175"/>
      <c r="AH61" s="18"/>
    </row>
    <row r="62" spans="1:34">
      <c r="A62" s="62"/>
      <c r="B62" s="63"/>
      <c r="C62" s="63"/>
      <c r="D62" s="63"/>
      <c r="E62" s="63"/>
      <c r="F62" s="102" t="s">
        <v>59</v>
      </c>
      <c r="G62" s="63"/>
      <c r="H62" s="292"/>
      <c r="I62" s="292"/>
      <c r="J62" s="292"/>
      <c r="K62" s="292"/>
      <c r="L62" s="292"/>
      <c r="M62" s="307" t="s">
        <v>56</v>
      </c>
      <c r="N62" s="292"/>
      <c r="P62" s="62"/>
      <c r="Q62" s="63"/>
      <c r="R62" s="63"/>
      <c r="S62" s="63"/>
      <c r="T62" s="63"/>
      <c r="U62" s="63"/>
      <c r="V62" s="63"/>
      <c r="W62" s="75" t="s">
        <v>183</v>
      </c>
      <c r="X62" s="64"/>
      <c r="AH62" s="18"/>
    </row>
    <row r="63" spans="1:34">
      <c r="A63" s="65"/>
      <c r="B63" s="2"/>
      <c r="C63" s="2"/>
      <c r="D63" s="2"/>
      <c r="E63" s="2"/>
      <c r="F63" s="88" t="str">
        <f>IF(SelectScenario!$G$6="Non-Modulating","(The maximum parameters are required@"&amp;SelectScenario!$G$6&amp;")",IF(SelectScenario!$G$6="Step-Modulating","The maximum parameters are not required@"&amp;SelectScenario!$G$6&amp;")","(The maximum parameters are required@"&amp;SelectScenario!$G$6&amp;")"))</f>
        <v>The maximum parameters are not required@Step-Modulating)</v>
      </c>
      <c r="G63" s="2"/>
      <c r="H63" s="292"/>
      <c r="I63" s="292"/>
      <c r="J63" s="292"/>
      <c r="K63" s="292"/>
      <c r="L63" s="292"/>
      <c r="M63" s="293" t="str">
        <f>IF(SelectScenario!$G$6="Non-Modulating","(The reduced parameters are not required@"&amp;SelectScenario!$G$6&amp;")",IF(SelectScenario!$G$6="Step-Modulating","The maximum parameters are required@"&amp;SelectScenario!$G$6&amp;")","(The maximum parameters are required@"&amp;SelectScenario!$G$6&amp;")"))</f>
        <v>The maximum parameters are required@Step-Modulating)</v>
      </c>
      <c r="N63" s="292"/>
      <c r="P63" s="65"/>
      <c r="Q63" s="2"/>
      <c r="R63" s="2"/>
      <c r="S63" s="2"/>
      <c r="T63" s="2"/>
      <c r="U63" s="2"/>
      <c r="V63" s="2"/>
      <c r="W63" s="2"/>
      <c r="X63" s="79"/>
      <c r="AH63" s="18"/>
    </row>
    <row r="64" spans="1:34">
      <c r="A64" s="65"/>
      <c r="B64" s="2"/>
      <c r="C64" s="2"/>
      <c r="D64" s="2"/>
      <c r="E64" s="2"/>
      <c r="F64" s="88"/>
      <c r="G64" s="2"/>
      <c r="H64" s="292"/>
      <c r="I64" s="292"/>
      <c r="J64" s="292"/>
      <c r="K64" s="292"/>
      <c r="L64" s="292"/>
      <c r="M64" s="293"/>
      <c r="N64" s="292"/>
      <c r="P64" s="65"/>
      <c r="Q64" s="2"/>
      <c r="R64" s="2"/>
      <c r="S64" s="2"/>
      <c r="T64" s="2"/>
      <c r="U64" s="2"/>
      <c r="V64" s="2"/>
      <c r="W64" s="2"/>
      <c r="X64" s="79"/>
      <c r="AH64" s="18"/>
    </row>
    <row r="65" spans="1:34">
      <c r="A65" s="125" t="s">
        <v>29</v>
      </c>
      <c r="B65" s="2"/>
      <c r="C65" s="2"/>
      <c r="D65" s="2"/>
      <c r="E65" s="2"/>
      <c r="F65" s="77" t="s">
        <v>28</v>
      </c>
      <c r="G65" s="2"/>
      <c r="H65" s="308" t="s">
        <v>29</v>
      </c>
      <c r="I65" s="292"/>
      <c r="J65" s="292"/>
      <c r="K65" s="292"/>
      <c r="L65" s="292"/>
      <c r="M65" s="294" t="s">
        <v>28</v>
      </c>
      <c r="N65" s="292"/>
      <c r="P65" s="65"/>
      <c r="Q65" s="2"/>
      <c r="R65" s="2"/>
      <c r="S65" s="11" t="s">
        <v>181</v>
      </c>
      <c r="T65" s="2"/>
      <c r="U65" s="2"/>
      <c r="V65" s="2"/>
      <c r="W65" s="11" t="s">
        <v>180</v>
      </c>
      <c r="X65" s="79"/>
      <c r="AH65" s="18"/>
    </row>
    <row r="66" spans="1:34">
      <c r="A66" s="191">
        <f>A86+1.5</f>
        <v>3.5</v>
      </c>
      <c r="B66" s="2" t="s">
        <v>117</v>
      </c>
      <c r="C66" s="2"/>
      <c r="D66" s="2"/>
      <c r="E66" s="81" t="str">
        <f>IF($M$3="YES","tp is pos-purge period","N/A")</f>
        <v>N/A</v>
      </c>
      <c r="F66" s="14">
        <v>120</v>
      </c>
      <c r="G66" s="2"/>
      <c r="H66" s="308">
        <f>H86+1.5</f>
        <v>1.5</v>
      </c>
      <c r="I66" s="292" t="s">
        <v>117</v>
      </c>
      <c r="J66" s="292"/>
      <c r="K66" s="292"/>
      <c r="L66" s="294" t="str">
        <f>IF($M$3="YES","tp is pos-purge period","N/A")</f>
        <v>N/A</v>
      </c>
      <c r="M66" s="298">
        <v>0</v>
      </c>
      <c r="N66" s="292"/>
      <c r="P66" s="65"/>
      <c r="Q66" s="2"/>
      <c r="R66" s="2"/>
      <c r="S66" s="177">
        <v>144</v>
      </c>
      <c r="T66" s="15" t="str">
        <f>IF(UNIT="SI-Unit","cm2","in2")</f>
        <v>in2</v>
      </c>
      <c r="U66" s="2"/>
      <c r="V66" s="2"/>
      <c r="W66" s="177">
        <v>85</v>
      </c>
      <c r="X66" s="79" t="str">
        <f>IF(UNIT="SI-Unit","C-Degree","F-Degree")</f>
        <v>F-Degree</v>
      </c>
      <c r="AH66" s="18"/>
    </row>
    <row r="67" spans="1:34">
      <c r="A67" s="125"/>
      <c r="B67" s="2"/>
      <c r="C67" s="2"/>
      <c r="D67" s="2"/>
      <c r="E67" s="81" t="str">
        <f>IF($M$3="YES","Note: t3=tp+1.5min after a burner shuts off","Note: t3=1.5min after a burner shuts off")</f>
        <v>Note: t3=1.5min after a burner shuts off</v>
      </c>
      <c r="F67" s="61">
        <f>IF(F66&lt;=F75,F75+0.2,IF(F66&lt;=F71,F71+0.1,F66))</f>
        <v>120</v>
      </c>
      <c r="G67" s="2" t="str">
        <f>IF(UNIT="SI-Unit","C-Degree","F-Degree")</f>
        <v>F-Degree</v>
      </c>
      <c r="H67" s="308"/>
      <c r="I67" s="292"/>
      <c r="J67" s="292"/>
      <c r="K67" s="292"/>
      <c r="L67" s="294" t="str">
        <f>IF($M$3="YES","Note: t3=tp+1.5min after a burner shuts off","Note: t3=1.5min after a burner shuts off")</f>
        <v>Note: t3=1.5min after a burner shuts off</v>
      </c>
      <c r="M67" s="296">
        <f>IF(M66&lt;=M75,M75+0.2,IF(M66&lt;=M71,M71+0.1,M66))</f>
        <v>70.2</v>
      </c>
      <c r="N67" s="292" t="str">
        <f>IF(UNIT="SI-Unit","C-Degree","F-Degree")</f>
        <v>F-Degree</v>
      </c>
      <c r="P67" s="65"/>
      <c r="Q67" s="2"/>
      <c r="R67" s="2"/>
      <c r="S67" s="2"/>
      <c r="T67" s="2"/>
      <c r="U67" s="2"/>
      <c r="V67" s="2"/>
      <c r="W67" s="2"/>
      <c r="X67" s="79"/>
      <c r="AH67" s="18"/>
    </row>
    <row r="68" spans="1:34">
      <c r="A68" s="65"/>
      <c r="B68" s="2"/>
      <c r="C68" s="2"/>
      <c r="D68" s="2"/>
      <c r="E68" s="2"/>
      <c r="F68" s="8"/>
      <c r="G68" s="2"/>
      <c r="H68" s="292"/>
      <c r="I68" s="292"/>
      <c r="J68" s="292"/>
      <c r="K68" s="292"/>
      <c r="L68" s="302"/>
      <c r="M68" s="303"/>
      <c r="N68" s="292"/>
      <c r="P68" s="65"/>
      <c r="Q68" s="2"/>
      <c r="R68" s="2"/>
      <c r="S68" s="11" t="s">
        <v>370</v>
      </c>
      <c r="T68" s="2"/>
      <c r="U68" s="2"/>
      <c r="V68" s="2"/>
      <c r="W68" s="11" t="s">
        <v>371</v>
      </c>
      <c r="X68" s="79"/>
      <c r="AH68" s="18"/>
    </row>
    <row r="69" spans="1:34">
      <c r="A69" s="125" t="s">
        <v>31</v>
      </c>
      <c r="B69" s="2"/>
      <c r="C69" s="2"/>
      <c r="D69" s="2"/>
      <c r="E69" s="2"/>
      <c r="F69" s="77" t="s">
        <v>32</v>
      </c>
      <c r="G69" s="2"/>
      <c r="H69" s="308" t="s">
        <v>31</v>
      </c>
      <c r="I69" s="292"/>
      <c r="J69" s="292"/>
      <c r="K69" s="292"/>
      <c r="L69" s="302"/>
      <c r="M69" s="294" t="s">
        <v>32</v>
      </c>
      <c r="N69" s="292"/>
      <c r="P69" s="65"/>
      <c r="Q69" s="2"/>
      <c r="R69" s="2"/>
      <c r="S69" s="177">
        <v>1200</v>
      </c>
      <c r="T69" s="15" t="str">
        <f>IF(UNIT="SI-Unit","cm2","in2")</f>
        <v>in2</v>
      </c>
      <c r="U69" s="2"/>
      <c r="V69" s="2"/>
      <c r="W69" s="177">
        <v>85</v>
      </c>
      <c r="X69" s="79" t="str">
        <f>IF(UNIT="SI-Unit","C-Degree","F-Degree")</f>
        <v>F-Degree</v>
      </c>
      <c r="AH69" s="18"/>
    </row>
    <row r="70" spans="1:34">
      <c r="A70" s="192">
        <f>A86+9</f>
        <v>11</v>
      </c>
      <c r="B70" s="2" t="s">
        <v>117</v>
      </c>
      <c r="C70" s="2"/>
      <c r="D70" s="2"/>
      <c r="E70" s="104" t="str">
        <f>IF($M$3="YES","tp is pos-purge period","N/A")</f>
        <v>N/A</v>
      </c>
      <c r="F70" s="14">
        <v>90</v>
      </c>
      <c r="G70" s="2"/>
      <c r="H70" s="309">
        <f>H86+9</f>
        <v>9</v>
      </c>
      <c r="I70" s="292" t="s">
        <v>117</v>
      </c>
      <c r="J70" s="292"/>
      <c r="K70" s="292"/>
      <c r="L70" s="294" t="str">
        <f>IF($M$3="YES","tp is pos-purge period","N/A")</f>
        <v>N/A</v>
      </c>
      <c r="M70" s="298">
        <v>0</v>
      </c>
      <c r="N70" s="292"/>
      <c r="P70" s="65"/>
      <c r="Q70" s="2"/>
      <c r="R70" s="2"/>
      <c r="S70" s="2"/>
      <c r="T70" s="2"/>
      <c r="U70" s="2"/>
      <c r="V70" s="2"/>
      <c r="W70" s="2"/>
      <c r="X70" s="79"/>
      <c r="AH70" s="18"/>
    </row>
    <row r="71" spans="1:34">
      <c r="A71" s="65"/>
      <c r="B71" s="2"/>
      <c r="C71" s="2"/>
      <c r="D71" s="2"/>
      <c r="E71" s="81" t="str">
        <f>IF($M$3="YES","Note: t4=tp+9.0min after a burner shuts off","Note: t4=9.0min after a burner shuts off")</f>
        <v>Note: t4=9.0min after a burner shuts off</v>
      </c>
      <c r="F71" s="61">
        <f>IF(F70&lt;=F75,F75+0.1,F70)</f>
        <v>90</v>
      </c>
      <c r="G71" s="2" t="str">
        <f>IF(UNIT="SI-Unit","C-Degree","F-Degree")</f>
        <v>F-Degree</v>
      </c>
      <c r="H71" s="292"/>
      <c r="I71" s="292"/>
      <c r="J71" s="292"/>
      <c r="K71" s="292"/>
      <c r="L71" s="294" t="str">
        <f>IF($M$3="YES","Note: t4=tp+9.0min after a burner shuts off","Note: t4=9.0min after a burner shuts off")</f>
        <v>Note: t4=9.0min after a burner shuts off</v>
      </c>
      <c r="M71" s="296">
        <f>IF(M70&lt;=M75,M75+0.1,M70)</f>
        <v>70.099999999999994</v>
      </c>
      <c r="N71" s="292" t="str">
        <f>IF(UNIT="SI-Unit","C-Degree","F-Degree")</f>
        <v>F-Degree</v>
      </c>
      <c r="P71" s="65"/>
      <c r="Q71" s="2"/>
      <c r="R71" s="2"/>
      <c r="S71" s="11" t="s">
        <v>393</v>
      </c>
      <c r="T71" s="2"/>
      <c r="U71" s="2"/>
      <c r="V71" s="2"/>
      <c r="W71" s="11" t="s">
        <v>394</v>
      </c>
      <c r="X71" s="79"/>
      <c r="AH71" s="18"/>
    </row>
    <row r="72" spans="1:34">
      <c r="A72" s="65"/>
      <c r="B72" s="2"/>
      <c r="C72" s="2"/>
      <c r="D72" s="2"/>
      <c r="E72" s="2"/>
      <c r="F72" s="8"/>
      <c r="G72" s="2"/>
      <c r="H72" s="292"/>
      <c r="I72" s="292"/>
      <c r="J72" s="292"/>
      <c r="K72" s="292"/>
      <c r="L72" s="302"/>
      <c r="M72" s="303"/>
      <c r="N72" s="292"/>
      <c r="P72" s="65"/>
      <c r="Q72" s="2"/>
      <c r="R72" s="2"/>
      <c r="S72" s="177">
        <v>144</v>
      </c>
      <c r="T72" s="15" t="str">
        <f>IF(UNIT="SI-Unit","cm2","in2")</f>
        <v>in2</v>
      </c>
      <c r="U72" s="2"/>
      <c r="V72" s="2"/>
      <c r="W72" s="177">
        <v>85</v>
      </c>
      <c r="X72" s="79" t="str">
        <f>IF(UNIT="SI-Unit","C-Degree","F-Degree")</f>
        <v>F-Degree</v>
      </c>
      <c r="AH72" s="18"/>
    </row>
    <row r="73" spans="1:34">
      <c r="A73" s="125" t="s">
        <v>119</v>
      </c>
      <c r="B73" s="2"/>
      <c r="C73" s="2"/>
      <c r="D73" s="2"/>
      <c r="E73" s="2"/>
      <c r="F73" s="77" t="s">
        <v>33</v>
      </c>
      <c r="G73" s="2"/>
      <c r="H73" s="308" t="s">
        <v>119</v>
      </c>
      <c r="I73" s="292"/>
      <c r="J73" s="292"/>
      <c r="K73" s="292"/>
      <c r="L73" s="302"/>
      <c r="M73" s="294" t="s">
        <v>33</v>
      </c>
      <c r="N73" s="292"/>
      <c r="P73" s="65"/>
      <c r="Q73" s="2"/>
      <c r="R73" s="2"/>
      <c r="S73" s="2"/>
      <c r="T73" s="2"/>
      <c r="U73" s="2"/>
      <c r="V73" s="2"/>
      <c r="W73" s="2"/>
      <c r="X73" s="79"/>
      <c r="AH73" s="18"/>
    </row>
    <row r="74" spans="1:34">
      <c r="A74" s="191">
        <v>60</v>
      </c>
      <c r="B74" s="2" t="s">
        <v>117</v>
      </c>
      <c r="C74" s="2"/>
      <c r="D74" s="2"/>
      <c r="E74" s="104"/>
      <c r="F74" s="14">
        <v>70</v>
      </c>
      <c r="G74" s="2"/>
      <c r="H74" s="308">
        <v>600</v>
      </c>
      <c r="I74" s="292" t="s">
        <v>117</v>
      </c>
      <c r="J74" s="292"/>
      <c r="K74" s="292"/>
      <c r="L74" s="302"/>
      <c r="M74" s="298">
        <v>0</v>
      </c>
      <c r="N74" s="292"/>
      <c r="P74" s="65"/>
      <c r="Q74" s="2"/>
      <c r="R74" s="2"/>
      <c r="S74" s="11" t="s">
        <v>184</v>
      </c>
      <c r="T74" s="2"/>
      <c r="U74" s="2"/>
      <c r="V74" s="2"/>
      <c r="W74" s="2"/>
      <c r="X74" s="79"/>
      <c r="AH74" s="18"/>
    </row>
    <row r="75" spans="1:34">
      <c r="A75" s="65"/>
      <c r="B75" s="2"/>
      <c r="C75" s="2"/>
      <c r="D75" s="2"/>
      <c r="E75" s="81" t="str">
        <f>IF(AND(SelectScenario!$G$59="YES",SelectScenario!$G$43="NO"),"Note: TF,OFF[t5] is required","Note: TF,OFF[t5] is not required")</f>
        <v>Note: TF,OFF[t5] is not required</v>
      </c>
      <c r="F75" s="93">
        <f>IF(AND(SelectScenario!$G$59="YES",SelectScenario!$G$43="NO"),DATAINPUTncnm!F74,DATAINPUTncnm!F58)</f>
        <v>70</v>
      </c>
      <c r="G75" s="2" t="str">
        <f>IF(UNIT="SI-Unit","C-Degree","F-Degree")</f>
        <v>F-Degree</v>
      </c>
      <c r="H75" s="292"/>
      <c r="I75" s="292"/>
      <c r="J75" s="292"/>
      <c r="K75" s="292"/>
      <c r="L75" s="294" t="str">
        <f>IF(AND(SelectScenario!$G$59="YES",SelectScenario!$G$43="NO"),"Note: TF,OFF[t5] is required","Note: TF,OFF[t5] is not required")</f>
        <v>Note: TF,OFF[t5] is not required</v>
      </c>
      <c r="M75" s="308">
        <f>IF(AND(SelectScenario!$G$59="YES",SelectScenario!$G$43="NO"),DATAINPUTncnm!M74,F58)</f>
        <v>70</v>
      </c>
      <c r="N75" s="292" t="str">
        <f>IF(UNIT="SI-Unit","C-Degree","F-Degree")</f>
        <v>F-Degree</v>
      </c>
      <c r="P75" s="65"/>
      <c r="Q75" s="2"/>
      <c r="R75" s="2"/>
      <c r="S75" s="130" t="s">
        <v>185</v>
      </c>
      <c r="T75" s="181" t="s">
        <v>189</v>
      </c>
      <c r="U75" s="2"/>
      <c r="V75" s="2"/>
      <c r="W75" s="2"/>
      <c r="X75" s="79"/>
      <c r="AH75" s="18"/>
    </row>
    <row r="76" spans="1:34">
      <c r="A76" s="65"/>
      <c r="B76" s="2"/>
      <c r="C76" s="2"/>
      <c r="D76" s="2"/>
      <c r="E76" s="2"/>
      <c r="F76" s="66"/>
      <c r="G76" s="304"/>
      <c r="H76" s="292"/>
      <c r="I76" s="292"/>
      <c r="J76" s="292"/>
      <c r="K76" s="292"/>
      <c r="L76" s="302"/>
      <c r="M76" s="293"/>
      <c r="N76" s="292"/>
      <c r="P76" s="65"/>
      <c r="Q76" s="2"/>
      <c r="R76" s="2"/>
      <c r="S76" s="2"/>
      <c r="T76" s="2"/>
      <c r="U76" s="2"/>
      <c r="V76" s="2"/>
      <c r="W76" s="2"/>
      <c r="X76" s="79"/>
      <c r="AH76" s="18"/>
    </row>
    <row r="77" spans="1:34">
      <c r="A77" s="65"/>
      <c r="B77" s="2"/>
      <c r="C77" s="2"/>
      <c r="D77" s="2"/>
      <c r="E77" s="2"/>
      <c r="F77" s="77" t="s">
        <v>57</v>
      </c>
      <c r="G77" s="2"/>
      <c r="H77" s="292"/>
      <c r="I77" s="292"/>
      <c r="J77" s="292"/>
      <c r="K77" s="292"/>
      <c r="L77" s="302"/>
      <c r="M77" s="294" t="s">
        <v>57</v>
      </c>
      <c r="N77" s="292"/>
      <c r="P77" s="65"/>
      <c r="Q77" s="2"/>
      <c r="R77" s="2"/>
      <c r="S77" s="2"/>
      <c r="T77" s="2"/>
      <c r="U77" s="2"/>
      <c r="V77" s="2"/>
      <c r="W77" s="2"/>
      <c r="X77" s="79"/>
      <c r="AH77" s="18"/>
    </row>
    <row r="78" spans="1:34">
      <c r="A78" s="65"/>
      <c r="B78" s="2"/>
      <c r="C78" s="2"/>
      <c r="D78" s="2"/>
      <c r="E78" s="81" t="str">
        <f>IF(SelectScenario!$G$59="YES","at plit mode","at no plit mode")</f>
        <v>at no plit mode</v>
      </c>
      <c r="F78" s="14">
        <v>0</v>
      </c>
      <c r="G78" s="304"/>
      <c r="H78" s="292"/>
      <c r="I78" s="292"/>
      <c r="J78" s="292"/>
      <c r="K78" s="292"/>
      <c r="L78" s="294" t="str">
        <f>IF(SelectScenario!$G$59="YES","at plit mode","at no plit mode")</f>
        <v>at no plit mode</v>
      </c>
      <c r="M78" s="298">
        <v>0</v>
      </c>
      <c r="N78" s="292"/>
      <c r="P78" s="65"/>
      <c r="Q78" s="2"/>
      <c r="R78" s="2"/>
      <c r="S78" s="2"/>
      <c r="T78" s="2"/>
      <c r="U78" s="2"/>
      <c r="V78" s="2"/>
      <c r="W78" s="2"/>
      <c r="X78" s="79"/>
      <c r="AH78" s="18"/>
    </row>
    <row r="79" spans="1:34">
      <c r="A79" s="65"/>
      <c r="B79" s="2"/>
      <c r="C79" s="2"/>
      <c r="D79" s="2"/>
      <c r="E79" s="81" t="str">
        <f>IF(SelectScenario!$G$59="YES","Note: Qp is required at plit mode","Note: Qp is not required at no plit mode")</f>
        <v>Note: Qp is not required at no plit mode</v>
      </c>
      <c r="F79" s="61">
        <f>F78</f>
        <v>0</v>
      </c>
      <c r="G79" s="15" t="str">
        <f>IF(UNIT="SI-Unit","kW","BTU/HR")</f>
        <v>BTU/HR</v>
      </c>
      <c r="H79" s="292"/>
      <c r="I79" s="292"/>
      <c r="J79" s="292"/>
      <c r="K79" s="292"/>
      <c r="L79" s="294" t="str">
        <f>IF(SelectScenario!$G$59="YES","Note: Qp is required at plit mode","Note: Qp is not required at no plit mode")</f>
        <v>Note: Qp is not required at no plit mode</v>
      </c>
      <c r="M79" s="296">
        <f>M78</f>
        <v>0</v>
      </c>
      <c r="N79" s="299" t="str">
        <f>IF(UNIT="SI-Unit","kW","BTU/HR")</f>
        <v>BTU/HR</v>
      </c>
      <c r="P79" s="65"/>
      <c r="Q79" s="2"/>
      <c r="R79" s="2"/>
      <c r="S79" s="2"/>
      <c r="T79" s="2"/>
      <c r="U79" s="2"/>
      <c r="V79" s="2"/>
      <c r="W79" s="2"/>
      <c r="X79" s="79"/>
      <c r="AH79" s="18"/>
    </row>
    <row r="80" spans="1:34" ht="15.75" thickBot="1">
      <c r="A80" s="71"/>
      <c r="B80" s="72"/>
      <c r="C80" s="72"/>
      <c r="D80" s="72"/>
      <c r="E80" s="72"/>
      <c r="F80" s="72"/>
      <c r="G80" s="72"/>
      <c r="H80" s="292"/>
      <c r="I80" s="292"/>
      <c r="J80" s="292"/>
      <c r="K80" s="302"/>
      <c r="L80" s="292"/>
      <c r="M80" s="292"/>
      <c r="N80" s="292"/>
      <c r="P80" s="71"/>
      <c r="Q80" s="72"/>
      <c r="R80" s="72"/>
      <c r="S80" s="72"/>
      <c r="T80" s="72"/>
      <c r="U80" s="72"/>
      <c r="V80" s="72"/>
      <c r="W80" s="72"/>
      <c r="X80" s="74"/>
      <c r="AH80" s="18"/>
    </row>
    <row r="81" spans="1:34" ht="15.75" thickBot="1">
      <c r="A81" s="2"/>
      <c r="B81" s="2"/>
      <c r="C81" s="2"/>
      <c r="D81" s="2"/>
      <c r="E81" s="2"/>
      <c r="F81" s="2"/>
      <c r="G81" s="2"/>
      <c r="H81" s="2"/>
      <c r="I81" s="2"/>
      <c r="J81" s="2"/>
      <c r="K81" s="94"/>
      <c r="L81" s="2"/>
      <c r="M81" s="2"/>
      <c r="N81" s="2"/>
      <c r="P81" s="2"/>
      <c r="Q81" s="2"/>
      <c r="R81" s="2"/>
      <c r="S81" s="2"/>
      <c r="T81" s="2"/>
      <c r="U81" s="2"/>
      <c r="V81" s="2"/>
      <c r="W81" s="2"/>
      <c r="X81" s="2"/>
      <c r="AH81" s="18"/>
    </row>
    <row r="82" spans="1:34" ht="16.5" thickBot="1">
      <c r="A82" s="95" t="s">
        <v>53</v>
      </c>
      <c r="B82" s="95"/>
      <c r="C82" s="96"/>
      <c r="D82" s="96"/>
      <c r="E82" s="96"/>
      <c r="F82" s="97"/>
      <c r="G82" s="96"/>
      <c r="H82" s="305"/>
      <c r="I82" s="305"/>
      <c r="J82" s="305"/>
      <c r="K82" s="305"/>
      <c r="L82" s="305"/>
      <c r="M82" s="305"/>
      <c r="N82" s="306"/>
      <c r="P82" s="2"/>
      <c r="Q82" s="2"/>
      <c r="R82" s="2"/>
      <c r="S82" s="2"/>
      <c r="T82" s="2"/>
      <c r="U82" s="2"/>
      <c r="V82" s="2"/>
      <c r="W82" s="2"/>
      <c r="X82" s="2"/>
      <c r="AH82" s="18"/>
    </row>
    <row r="83" spans="1:34">
      <c r="A83" s="62"/>
      <c r="B83" s="63"/>
      <c r="C83" s="63"/>
      <c r="D83" s="63"/>
      <c r="E83" s="63"/>
      <c r="F83" s="102" t="str">
        <f>IF(SelectScenario!G58="YES","Post purge is actived and required","Post purge is not actived and required")</f>
        <v>Post purge is not actived and required</v>
      </c>
      <c r="G83" s="63"/>
      <c r="H83" s="292"/>
      <c r="I83" s="292"/>
      <c r="J83" s="292"/>
      <c r="K83" s="302"/>
      <c r="L83" s="292"/>
      <c r="M83" s="292"/>
      <c r="N83" s="292"/>
      <c r="P83" s="2"/>
      <c r="Q83" s="2"/>
      <c r="R83" s="2"/>
      <c r="S83" s="2"/>
      <c r="T83" s="2"/>
      <c r="U83" s="2"/>
      <c r="V83" s="2"/>
      <c r="W83" s="2"/>
      <c r="X83" s="2"/>
      <c r="AH83" s="18"/>
    </row>
    <row r="84" spans="1:34">
      <c r="A84" s="65"/>
      <c r="B84" s="2"/>
      <c r="C84" s="2"/>
      <c r="D84" s="2"/>
      <c r="E84" s="2"/>
      <c r="F84" s="2"/>
      <c r="G84" s="2"/>
      <c r="H84" s="292"/>
      <c r="I84" s="292"/>
      <c r="J84" s="292"/>
      <c r="K84" s="302"/>
      <c r="L84" s="292"/>
      <c r="M84" s="292"/>
      <c r="N84" s="292"/>
      <c r="P84" s="2"/>
      <c r="Q84" s="2"/>
      <c r="R84" s="2"/>
      <c r="S84" s="2"/>
      <c r="T84" s="2"/>
      <c r="U84" s="2"/>
      <c r="V84" s="2"/>
      <c r="W84" s="2"/>
      <c r="X84" s="2"/>
      <c r="AH84" s="18"/>
    </row>
    <row r="85" spans="1:34">
      <c r="A85" s="125" t="s">
        <v>30</v>
      </c>
      <c r="B85" s="2"/>
      <c r="C85" s="2"/>
      <c r="D85" s="2"/>
      <c r="E85" s="2"/>
      <c r="F85" s="188" t="s">
        <v>199</v>
      </c>
      <c r="G85" s="2"/>
      <c r="H85" s="308" t="s">
        <v>30</v>
      </c>
      <c r="I85" s="292"/>
      <c r="J85" s="292"/>
      <c r="K85" s="292"/>
      <c r="L85" s="292"/>
      <c r="M85" s="294" t="s">
        <v>199</v>
      </c>
      <c r="N85" s="292"/>
      <c r="P85" s="2"/>
      <c r="Q85" s="2"/>
      <c r="R85" s="2"/>
      <c r="S85" s="2"/>
      <c r="T85" s="2"/>
      <c r="U85" s="2"/>
      <c r="V85" s="2"/>
      <c r="W85" s="2"/>
      <c r="X85" s="2"/>
      <c r="AH85" s="18"/>
    </row>
    <row r="86" spans="1:34">
      <c r="A86" s="191">
        <v>2</v>
      </c>
      <c r="B86" s="2" t="s">
        <v>117</v>
      </c>
      <c r="C86" s="2"/>
      <c r="D86" s="2"/>
      <c r="E86" s="8" t="str">
        <f>IF(AND($M$3="YES",A86&gt;3),"TF,OFF(tp/2) is required","TF,OFF(tp/2) is not required")</f>
        <v>TF,OFF(tp/2) is not required</v>
      </c>
      <c r="F86" s="197">
        <v>150</v>
      </c>
      <c r="G86" s="2" t="str">
        <f>IF(UNIT="SI-Unit","C-Degree","F-Degree")</f>
        <v>F-Degree</v>
      </c>
      <c r="H86" s="308">
        <v>0</v>
      </c>
      <c r="I86" s="292" t="s">
        <v>117</v>
      </c>
      <c r="J86" s="292"/>
      <c r="K86" s="292"/>
      <c r="L86" s="303" t="str">
        <f>IF(AND($M$3="YES",H86&gt;3),"TF,OFF(tp/2) is required","TF,OFF(tp/2) is not required")</f>
        <v>TF,OFF(tp/2) is not required</v>
      </c>
      <c r="M86" s="310">
        <v>150</v>
      </c>
      <c r="N86" s="292" t="str">
        <f>IF(UNIT="SI-Unit","C-Degree","F-Degree")</f>
        <v>F-Degree</v>
      </c>
      <c r="P86" s="2"/>
      <c r="Q86" s="2"/>
      <c r="R86" s="2"/>
      <c r="S86" s="2"/>
      <c r="T86" s="2"/>
      <c r="U86" s="2"/>
      <c r="V86" s="2"/>
      <c r="W86" s="2"/>
      <c r="X86" s="2"/>
      <c r="AH86" s="18"/>
    </row>
    <row r="87" spans="1:34">
      <c r="A87" s="125"/>
      <c r="B87" s="2"/>
      <c r="C87" s="2"/>
      <c r="D87" s="2"/>
      <c r="E87" s="8" t="str">
        <f>IF($M$3="YES","TF,OFF(tp) is required","TF,OFF(tp) is not required")</f>
        <v>TF,OFF(tp) is not required</v>
      </c>
      <c r="F87" s="197">
        <v>130</v>
      </c>
      <c r="G87" s="2" t="str">
        <f>IF(UNIT="SI-Unit","C-Degree","F-Degree")</f>
        <v>F-Degree</v>
      </c>
      <c r="H87" s="292"/>
      <c r="I87" s="292"/>
      <c r="J87" s="292"/>
      <c r="K87" s="292"/>
      <c r="L87" s="303" t="str">
        <f>IF($M$3="YES","TF,OFF(tp) is required","TF,OFF(tp) is not required")</f>
        <v>TF,OFF(tp) is not required</v>
      </c>
      <c r="M87" s="310">
        <v>130</v>
      </c>
      <c r="N87" s="292" t="str">
        <f>IF(UNIT="SI-Unit","C-Degree","F-Degree")</f>
        <v>F-Degree</v>
      </c>
      <c r="P87" s="2"/>
      <c r="Q87" s="2"/>
      <c r="R87" s="2"/>
      <c r="S87" s="2"/>
      <c r="T87" s="2"/>
      <c r="U87" s="2"/>
      <c r="V87" s="2"/>
      <c r="W87" s="2"/>
      <c r="X87" s="2"/>
      <c r="AH87" s="18"/>
    </row>
    <row r="88" spans="1:34">
      <c r="A88" s="125"/>
      <c r="B88" s="2"/>
      <c r="C88" s="2"/>
      <c r="D88" s="2"/>
      <c r="E88" s="8"/>
      <c r="F88" s="203"/>
      <c r="G88" s="2"/>
      <c r="H88" s="292"/>
      <c r="I88" s="292"/>
      <c r="J88" s="292"/>
      <c r="K88" s="292"/>
      <c r="L88" s="303"/>
      <c r="M88" s="310"/>
      <c r="N88" s="292"/>
      <c r="P88" s="2"/>
      <c r="Q88" s="2"/>
      <c r="R88" s="2"/>
      <c r="S88" s="2"/>
      <c r="T88" s="2"/>
      <c r="U88" s="2"/>
      <c r="V88" s="2"/>
      <c r="W88" s="2"/>
      <c r="X88" s="2"/>
      <c r="AH88" s="18"/>
    </row>
    <row r="89" spans="1:34" ht="16.5" thickBot="1">
      <c r="A89" s="71"/>
      <c r="B89" s="72"/>
      <c r="C89" s="72"/>
      <c r="D89" s="72"/>
      <c r="E89" s="72"/>
      <c r="F89" s="200"/>
      <c r="G89" s="72"/>
      <c r="H89" s="292"/>
      <c r="I89" s="292"/>
      <c r="J89" s="292"/>
      <c r="K89" s="292"/>
      <c r="L89" s="292"/>
      <c r="M89" s="292"/>
      <c r="N89" s="292"/>
      <c r="P89" s="2"/>
      <c r="Q89" s="2"/>
      <c r="R89" s="2"/>
      <c r="S89" s="2"/>
      <c r="T89" s="2"/>
      <c r="U89" s="2"/>
      <c r="V89" s="2"/>
      <c r="W89" s="2"/>
      <c r="X89" s="2"/>
      <c r="AH89" s="18"/>
    </row>
    <row r="90" spans="1:34" ht="15.75" thickBo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P90" s="2"/>
      <c r="Q90" s="2"/>
      <c r="R90" s="2"/>
      <c r="S90" s="2"/>
      <c r="T90" s="2"/>
      <c r="U90" s="2"/>
      <c r="V90" s="2"/>
      <c r="W90" s="2"/>
      <c r="X90" s="2"/>
      <c r="AH90" s="18"/>
    </row>
    <row r="91" spans="1:34" ht="16.5" thickBot="1">
      <c r="A91" s="99" t="s">
        <v>26</v>
      </c>
      <c r="B91" s="100"/>
      <c r="C91" s="100"/>
      <c r="D91" s="100"/>
      <c r="E91" s="100"/>
      <c r="F91" s="100"/>
      <c r="G91" s="100"/>
      <c r="H91" s="311"/>
      <c r="I91" s="311"/>
      <c r="J91" s="311"/>
      <c r="K91" s="311"/>
      <c r="L91" s="311"/>
      <c r="M91" s="311"/>
      <c r="N91" s="312"/>
      <c r="P91" s="2"/>
      <c r="Q91" s="2"/>
      <c r="R91" s="2"/>
      <c r="S91" s="2"/>
      <c r="T91" s="2"/>
      <c r="U91" s="2"/>
      <c r="V91" s="2"/>
      <c r="W91" s="2"/>
      <c r="X91" s="2"/>
      <c r="AH91" s="18"/>
    </row>
    <row r="92" spans="1:34">
      <c r="A92" s="62"/>
      <c r="B92" s="63"/>
      <c r="C92" s="63"/>
      <c r="D92" s="63"/>
      <c r="E92" s="63"/>
      <c r="F92" s="102" t="s">
        <v>60</v>
      </c>
      <c r="G92" s="63"/>
      <c r="H92" s="292"/>
      <c r="I92" s="292"/>
      <c r="J92" s="292"/>
      <c r="K92" s="292"/>
      <c r="L92" s="292"/>
      <c r="M92" s="307" t="s">
        <v>58</v>
      </c>
      <c r="N92" s="292"/>
      <c r="P92" s="2"/>
      <c r="Q92" s="2"/>
      <c r="R92" s="2"/>
      <c r="S92" s="2"/>
      <c r="T92" s="2"/>
      <c r="U92" s="2"/>
      <c r="V92" s="2"/>
      <c r="W92" s="2"/>
      <c r="X92" s="2"/>
      <c r="AH92" s="18"/>
    </row>
    <row r="93" spans="1:34">
      <c r="A93" s="65"/>
      <c r="B93" s="2"/>
      <c r="C93" s="2"/>
      <c r="D93" s="2"/>
      <c r="E93" s="2"/>
      <c r="F93" s="88" t="str">
        <f>IF(SelectScenario!$G$6="Non-Modulating","(The maximum parameters are required@"&amp;SelectScenario!$G$6&amp;")",IF(SelectScenario!$G$6="Step-Modulating","The maximum parameters are not required@"&amp;SelectScenario!$G$6&amp;")","(The maximum parameters are required@"&amp;SelectScenario!$G$6&amp;")"))</f>
        <v>The maximum parameters are not required@Step-Modulating)</v>
      </c>
      <c r="G93" s="2"/>
      <c r="H93" s="292"/>
      <c r="I93" s="292"/>
      <c r="J93" s="292"/>
      <c r="K93" s="292"/>
      <c r="L93" s="292"/>
      <c r="M93" s="293" t="str">
        <f>IF(SelectScenario!$G$6="Non-Modulating","(The reduced parameters are not required@"&amp;SelectScenario!$G$6&amp;")",IF(SelectScenario!$G$6="Step-Modulating","The maximum parameters are required@"&amp;SelectScenario!$G$6&amp;")","(The maximum parameters are required@"&amp;SelectScenario!$G$6&amp;")"))</f>
        <v>The maximum parameters are required@Step-Modulating)</v>
      </c>
      <c r="N93" s="292"/>
      <c r="P93" s="2"/>
      <c r="Q93" s="2"/>
      <c r="R93" s="2"/>
      <c r="S93" s="2"/>
      <c r="T93" s="2"/>
      <c r="U93" s="2"/>
      <c r="V93" s="2"/>
      <c r="W93" s="2"/>
      <c r="X93" s="2"/>
      <c r="AH93" s="18"/>
    </row>
    <row r="94" spans="1:34">
      <c r="A94" s="65"/>
      <c r="B94" s="2"/>
      <c r="C94" s="2"/>
      <c r="D94" s="2"/>
      <c r="E94" s="2"/>
      <c r="F94" s="8"/>
      <c r="G94" s="2"/>
      <c r="H94" s="292"/>
      <c r="I94" s="292"/>
      <c r="J94" s="292"/>
      <c r="K94" s="292"/>
      <c r="L94" s="292"/>
      <c r="M94" s="292"/>
      <c r="N94" s="292"/>
      <c r="AH94" s="18"/>
    </row>
    <row r="95" spans="1:34">
      <c r="A95" s="65"/>
      <c r="B95" s="2"/>
      <c r="C95" s="2"/>
      <c r="D95" s="2"/>
      <c r="E95" s="2"/>
      <c r="F95" s="77" t="s">
        <v>61</v>
      </c>
      <c r="H95" s="292"/>
      <c r="I95" s="292"/>
      <c r="J95" s="292"/>
      <c r="K95" s="292"/>
      <c r="L95" s="292"/>
      <c r="M95" s="294" t="s">
        <v>61</v>
      </c>
      <c r="N95" s="292"/>
      <c r="AH95" s="18"/>
    </row>
    <row r="96" spans="1:34">
      <c r="A96" s="126" t="s">
        <v>120</v>
      </c>
      <c r="B96" s="2"/>
      <c r="C96" s="2"/>
      <c r="D96" s="2"/>
      <c r="E96" s="81"/>
      <c r="F96" s="14">
        <v>200</v>
      </c>
      <c r="G96" s="2"/>
      <c r="H96" s="308" t="s">
        <v>120</v>
      </c>
      <c r="I96" s="292"/>
      <c r="J96" s="292"/>
      <c r="K96" s="292"/>
      <c r="L96" s="294"/>
      <c r="M96" s="298">
        <v>0</v>
      </c>
      <c r="N96" s="292"/>
      <c r="AH96" s="18"/>
    </row>
    <row r="97" spans="1:34">
      <c r="A97" s="110">
        <v>0.5</v>
      </c>
      <c r="B97" t="s">
        <v>117</v>
      </c>
      <c r="C97" s="2"/>
      <c r="D97" s="2"/>
      <c r="E97" s="81" t="str">
        <f>"Note: t1=0.5min after a burner comes on"</f>
        <v>Note: t1=0.5min after a burner comes on</v>
      </c>
      <c r="F97" s="61">
        <f>IF(F96&gt;F33,F33-0.2,IF(F96&gt;F101, F100-0.1,F96))</f>
        <v>200</v>
      </c>
      <c r="G97" s="2" t="str">
        <f>IF(UNIT="SI-Unit","C-Degree","F-Degree")</f>
        <v>F-Degree</v>
      </c>
      <c r="H97" s="308">
        <v>0.5</v>
      </c>
      <c r="I97" s="292" t="s">
        <v>117</v>
      </c>
      <c r="J97" s="292"/>
      <c r="K97" s="292"/>
      <c r="L97" s="294" t="str">
        <f>"Note: t1=0.5min after a burner comes on"</f>
        <v>Note: t1=0.5min after a burner comes on</v>
      </c>
      <c r="M97" s="296">
        <f>IF(M96&gt;M33,M33-0.2,IF(M96&gt;M101, M100-0.1,M96))</f>
        <v>0</v>
      </c>
      <c r="N97" s="292" t="str">
        <f>IF(UNIT="SI-Unit","C-Degree","F-Degree")</f>
        <v>F-Degree</v>
      </c>
      <c r="AH97" s="18"/>
    </row>
    <row r="98" spans="1:34">
      <c r="A98" s="125"/>
      <c r="B98" s="2"/>
      <c r="C98" s="2"/>
      <c r="D98" s="2"/>
      <c r="E98" s="2"/>
      <c r="F98" s="2"/>
      <c r="G98" s="2"/>
      <c r="H98" s="308"/>
      <c r="I98" s="292"/>
      <c r="J98" s="292"/>
      <c r="K98" s="292"/>
      <c r="L98" s="292"/>
      <c r="M98" s="292"/>
      <c r="N98" s="292"/>
      <c r="AH98" s="18"/>
    </row>
    <row r="99" spans="1:34">
      <c r="A99" s="126" t="s">
        <v>121</v>
      </c>
      <c r="B99" s="2"/>
      <c r="C99" s="2"/>
      <c r="D99" s="2"/>
      <c r="E99" s="2"/>
      <c r="F99" s="77" t="s">
        <v>62</v>
      </c>
      <c r="G99" s="2"/>
      <c r="H99" s="308" t="s">
        <v>121</v>
      </c>
      <c r="I99" s="292"/>
      <c r="J99" s="292"/>
      <c r="K99" s="292"/>
      <c r="L99" s="292"/>
      <c r="M99" s="294" t="s">
        <v>62</v>
      </c>
      <c r="N99" s="292"/>
      <c r="AH99" s="18"/>
    </row>
    <row r="100" spans="1:34">
      <c r="A100" s="110">
        <f>2.5</f>
        <v>2.5</v>
      </c>
      <c r="B100" s="2" t="s">
        <v>117</v>
      </c>
      <c r="C100" s="2"/>
      <c r="D100" s="2"/>
      <c r="E100" s="81"/>
      <c r="F100" s="14">
        <v>300</v>
      </c>
      <c r="G100" s="2"/>
      <c r="H100" s="308">
        <f>2.5</f>
        <v>2.5</v>
      </c>
      <c r="I100" s="292" t="s">
        <v>117</v>
      </c>
      <c r="J100" s="292"/>
      <c r="K100" s="292"/>
      <c r="L100" s="294"/>
      <c r="M100" s="298">
        <v>0</v>
      </c>
      <c r="N100" s="292"/>
      <c r="AH100" s="18"/>
    </row>
    <row r="101" spans="1:34">
      <c r="A101" s="65"/>
      <c r="B101" s="2"/>
      <c r="C101" s="2"/>
      <c r="D101" s="2"/>
      <c r="E101" s="81" t="str">
        <f>"Note: t2=2.5min after a burner comes on"</f>
        <v>Note: t2=2.5min after a burner comes on</v>
      </c>
      <c r="F101" s="61">
        <f>IF(F100&gt;F33,F33-0.1,F100)</f>
        <v>300</v>
      </c>
      <c r="G101" s="2" t="str">
        <f>IF(UNIT="SI-Unit","C-Degree","F-Degree")</f>
        <v>F-Degree</v>
      </c>
      <c r="H101" s="292"/>
      <c r="I101" s="292"/>
      <c r="J101" s="292"/>
      <c r="K101" s="292"/>
      <c r="L101" s="294" t="str">
        <f>"Note: t2=2.5min after a burner comes on"</f>
        <v>Note: t2=2.5min after a burner comes on</v>
      </c>
      <c r="M101" s="296">
        <f>IF(M100&gt;M33,M33-0.1,M100)</f>
        <v>0</v>
      </c>
      <c r="N101" s="292" t="str">
        <f>IF(UNIT="SI-Unit","C-Degree","F-Degree")</f>
        <v>F-Degree</v>
      </c>
      <c r="AH101" s="18"/>
    </row>
    <row r="102" spans="1:34" ht="15.75" thickBot="1">
      <c r="A102" s="71"/>
      <c r="B102" s="72"/>
      <c r="C102" s="72"/>
      <c r="D102" s="72"/>
      <c r="E102" s="72"/>
      <c r="F102" s="73"/>
      <c r="G102" s="72"/>
      <c r="H102" s="292"/>
      <c r="I102" s="292"/>
      <c r="J102" s="292"/>
      <c r="K102" s="292"/>
      <c r="L102" s="292"/>
      <c r="M102" s="292"/>
      <c r="N102" s="292"/>
      <c r="AH102" s="18"/>
    </row>
    <row r="103" spans="1:34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AH103" s="18"/>
    </row>
    <row r="104" spans="1:34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AH104" s="18"/>
    </row>
    <row r="105" spans="1:34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AH105" s="18"/>
    </row>
    <row r="106" spans="1:34">
      <c r="AH106" s="18"/>
    </row>
    <row r="107" spans="1:34">
      <c r="AH107" s="18"/>
    </row>
    <row r="108" spans="1:34">
      <c r="AH108" s="18"/>
    </row>
    <row r="109" spans="1:34">
      <c r="AH109" s="18"/>
    </row>
    <row r="110" spans="1:34">
      <c r="AH110" s="18"/>
    </row>
    <row r="111" spans="1:34">
      <c r="AH111" s="18"/>
    </row>
    <row r="112" spans="1:34">
      <c r="AH112" s="18"/>
    </row>
    <row r="113" spans="34:34">
      <c r="AH113" s="18"/>
    </row>
    <row r="114" spans="34:34">
      <c r="AH114" s="18"/>
    </row>
    <row r="115" spans="34:34">
      <c r="AH115" s="18"/>
    </row>
    <row r="116" spans="34:34">
      <c r="AH116" s="18"/>
    </row>
    <row r="117" spans="34:34">
      <c r="AH117" s="18"/>
    </row>
    <row r="118" spans="34:34">
      <c r="AH118" s="18"/>
    </row>
    <row r="119" spans="34:34">
      <c r="AH119" s="18"/>
    </row>
    <row r="120" spans="34:34">
      <c r="AH120" s="18"/>
    </row>
    <row r="121" spans="34:34">
      <c r="AH121" s="18"/>
    </row>
    <row r="122" spans="34:34">
      <c r="AH122" s="18"/>
    </row>
    <row r="123" spans="34:34">
      <c r="AH123" s="18"/>
    </row>
    <row r="124" spans="34:34">
      <c r="AH124" s="18"/>
    </row>
    <row r="125" spans="34:34">
      <c r="AH125" s="18"/>
    </row>
    <row r="126" spans="34:34">
      <c r="AH126" s="18"/>
    </row>
    <row r="127" spans="34:34">
      <c r="AH127" s="18"/>
    </row>
    <row r="128" spans="34:34">
      <c r="AH128" s="18"/>
    </row>
    <row r="129" spans="34:34">
      <c r="AH129" s="18"/>
    </row>
    <row r="130" spans="34:34">
      <c r="AH130" s="18"/>
    </row>
    <row r="131" spans="34:34">
      <c r="AH131" s="18"/>
    </row>
    <row r="132" spans="34:34">
      <c r="AH132" s="18"/>
    </row>
    <row r="133" spans="34:34">
      <c r="AH133" s="18"/>
    </row>
    <row r="134" spans="34:34">
      <c r="AH134" s="18"/>
    </row>
    <row r="135" spans="34:34">
      <c r="AH135" s="18"/>
    </row>
    <row r="136" spans="34:34">
      <c r="AH136" s="18"/>
    </row>
    <row r="137" spans="34:34">
      <c r="AH137" s="18"/>
    </row>
    <row r="138" spans="34:34">
      <c r="AH138" s="18"/>
    </row>
    <row r="139" spans="34:34">
      <c r="AH139" s="18"/>
    </row>
    <row r="140" spans="34:34">
      <c r="AH140" s="18"/>
    </row>
    <row r="141" spans="34:34">
      <c r="AH141" s="18"/>
    </row>
    <row r="142" spans="34:34">
      <c r="AH142" s="18"/>
    </row>
    <row r="143" spans="34:34">
      <c r="AH143" s="18"/>
    </row>
    <row r="144" spans="34:34">
      <c r="AH144" s="18"/>
    </row>
    <row r="145" spans="34:34">
      <c r="AH145" s="18"/>
    </row>
    <row r="146" spans="34:34">
      <c r="AH146" s="18"/>
    </row>
    <row r="147" spans="34:34">
      <c r="AH147" s="18"/>
    </row>
    <row r="148" spans="34:34">
      <c r="AH148" s="18"/>
    </row>
    <row r="149" spans="34:34">
      <c r="AH149" s="18"/>
    </row>
    <row r="150" spans="34:34">
      <c r="AH150" s="18"/>
    </row>
    <row r="151" spans="34:34">
      <c r="AH151" s="18"/>
    </row>
    <row r="152" spans="34:34">
      <c r="AH152" s="18"/>
    </row>
    <row r="153" spans="34:34">
      <c r="AH153" s="18"/>
    </row>
    <row r="154" spans="34:34">
      <c r="AH154" s="18"/>
    </row>
    <row r="155" spans="34:34">
      <c r="AH155" s="18"/>
    </row>
    <row r="156" spans="34:34">
      <c r="AH156" s="18"/>
    </row>
    <row r="157" spans="34:34">
      <c r="AH157" s="18"/>
    </row>
    <row r="158" spans="34:34">
      <c r="AH158" s="18"/>
    </row>
    <row r="159" spans="34:34">
      <c r="AH159" s="18"/>
    </row>
    <row r="160" spans="34:34">
      <c r="AH160" s="18"/>
    </row>
    <row r="161" spans="34:34">
      <c r="AH161" s="18"/>
    </row>
    <row r="162" spans="34:34">
      <c r="AH162" s="18"/>
    </row>
    <row r="163" spans="34:34">
      <c r="AH163" s="18"/>
    </row>
    <row r="164" spans="34:34">
      <c r="AH164" s="18"/>
    </row>
    <row r="165" spans="34:34">
      <c r="AH165" s="18"/>
    </row>
    <row r="166" spans="34:34">
      <c r="AH166" s="18"/>
    </row>
    <row r="167" spans="34:34">
      <c r="AH167" s="18"/>
    </row>
    <row r="168" spans="34:34">
      <c r="AH168" s="18"/>
    </row>
    <row r="169" spans="34:34">
      <c r="AH169" s="18"/>
    </row>
    <row r="170" spans="34:34">
      <c r="AH170" s="18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9CCBE2-6717-42AA-9179-36120B9CF53A}">
          <x14:formula1>
            <xm:f>Others!$A$14:$A$17</xm:f>
          </x14:formula1>
          <xm:sqref>S75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4284C-1C3E-49E9-836D-A86797012EB2}">
  <sheetPr codeName="Sheet3">
    <tabColor rgb="FFFFC000"/>
  </sheetPr>
  <dimension ref="A1:Y78"/>
  <sheetViews>
    <sheetView zoomScale="108" zoomScaleNormal="108" workbookViewId="0">
      <selection activeCell="F71" sqref="F71"/>
    </sheetView>
  </sheetViews>
  <sheetFormatPr defaultRowHeight="12"/>
  <cols>
    <col min="1" max="1" width="13.28515625" style="106" customWidth="1"/>
    <col min="2" max="7" width="9.140625" style="106"/>
    <col min="8" max="8" width="9.140625" style="106" customWidth="1"/>
    <col min="9" max="9" width="10.85546875" style="106" bestFit="1" customWidth="1"/>
    <col min="10" max="22" width="9.140625" style="106"/>
    <col min="23" max="23" width="9.5703125" style="106" bestFit="1" customWidth="1"/>
    <col min="24" max="16384" width="9.140625" style="106"/>
  </cols>
  <sheetData>
    <row r="1" spans="1:21" ht="12.75" thickBot="1">
      <c r="A1" s="231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3"/>
    </row>
    <row r="2" spans="1:21" ht="12.75" thickBot="1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7"/>
    </row>
    <row r="3" spans="1:21">
      <c r="A3" s="155"/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7"/>
      <c r="Q3" s="15"/>
      <c r="R3" s="15"/>
      <c r="S3" s="15"/>
      <c r="T3" s="15"/>
      <c r="U3" s="131"/>
    </row>
    <row r="4" spans="1:21">
      <c r="A4" s="158"/>
      <c r="B4" s="15"/>
      <c r="C4" s="15"/>
      <c r="D4" s="15"/>
      <c r="E4" s="159" t="str">
        <f>SelectScenario!F7</f>
        <v xml:space="preserve">Selected Unit: </v>
      </c>
      <c r="F4" s="160" t="str">
        <f>SelectScenario!G7</f>
        <v>Condensing, Step-ModulatingNG Furnace</v>
      </c>
      <c r="H4" s="160"/>
      <c r="I4" s="160"/>
      <c r="J4" s="160"/>
      <c r="K4" s="160"/>
      <c r="L4" s="160" t="s">
        <v>55</v>
      </c>
      <c r="M4" s="160"/>
      <c r="N4" s="160"/>
      <c r="O4" s="15"/>
      <c r="P4" s="131"/>
      <c r="Q4" s="15"/>
      <c r="R4" s="15"/>
      <c r="S4" s="15"/>
      <c r="T4" s="15"/>
      <c r="U4" s="131"/>
    </row>
    <row r="5" spans="1:21">
      <c r="A5" s="158"/>
      <c r="B5" s="15"/>
      <c r="C5" s="15"/>
      <c r="D5" s="15"/>
      <c r="E5" s="11" t="str">
        <f>SelectScenario!F5</f>
        <v>Select NG Furnace System Scenario</v>
      </c>
      <c r="F5" s="69">
        <f>SelectScenario!G5</f>
        <v>3</v>
      </c>
      <c r="G5" s="15"/>
      <c r="H5" s="160"/>
      <c r="I5" s="160"/>
      <c r="J5" s="160"/>
      <c r="K5" s="160"/>
      <c r="L5" s="11" t="str">
        <f>SelectScenario!F58</f>
        <v>Post Purge</v>
      </c>
      <c r="M5" s="243" t="str">
        <f>SelectScenario!G58</f>
        <v>NO</v>
      </c>
      <c r="N5" s="160"/>
      <c r="O5" s="15"/>
      <c r="P5" s="131"/>
      <c r="Q5" s="15"/>
      <c r="R5" s="15"/>
      <c r="S5" s="15"/>
      <c r="T5" s="15"/>
      <c r="U5" s="131"/>
    </row>
    <row r="6" spans="1:21">
      <c r="A6" s="158"/>
      <c r="B6" s="15"/>
      <c r="C6" s="15"/>
      <c r="D6" s="15"/>
      <c r="E6" s="11" t="str">
        <f>SelectScenario!F10</f>
        <v>Indoor Combustion Air</v>
      </c>
      <c r="F6" s="69" t="str">
        <f>SelectScenario!G10</f>
        <v>YES</v>
      </c>
      <c r="G6" s="15"/>
      <c r="H6" s="69"/>
      <c r="I6" s="69"/>
      <c r="J6" s="69"/>
      <c r="K6" s="69"/>
      <c r="L6" s="11" t="str">
        <f>SelectScenario!F59</f>
        <v>Pilot Light</v>
      </c>
      <c r="M6" s="243" t="str">
        <f>SelectScenario!G59</f>
        <v>NO</v>
      </c>
      <c r="N6" s="69"/>
      <c r="O6" s="15"/>
      <c r="P6" s="131"/>
      <c r="Q6" s="15"/>
      <c r="R6" s="15"/>
      <c r="S6" s="15"/>
      <c r="T6" s="15"/>
      <c r="U6" s="131"/>
    </row>
    <row r="7" spans="1:21">
      <c r="A7" s="158"/>
      <c r="B7" s="15"/>
      <c r="C7" s="15"/>
      <c r="D7" s="15"/>
      <c r="E7" s="11" t="str">
        <f>SelectScenario!F11</f>
        <v>Outdoor, Direct Vent or isolated Combustion System</v>
      </c>
      <c r="F7" s="69" t="str">
        <f>SelectScenario!G11</f>
        <v>NO</v>
      </c>
      <c r="G7" s="15"/>
      <c r="H7" s="69"/>
      <c r="I7" s="69"/>
      <c r="J7" s="69"/>
      <c r="K7" s="69"/>
      <c r="L7" s="11" t="str">
        <f>SelectScenario!F60</f>
        <v>Unit</v>
      </c>
      <c r="M7" s="243" t="str">
        <f>SelectScenario!G60</f>
        <v>British-Unit</v>
      </c>
      <c r="N7" s="69"/>
      <c r="O7" s="15"/>
      <c r="P7" s="131"/>
      <c r="Q7" s="15"/>
      <c r="R7" s="15"/>
      <c r="S7" s="15"/>
      <c r="T7" s="15"/>
      <c r="U7" s="131"/>
    </row>
    <row r="8" spans="1:21" ht="12.75" thickBot="1">
      <c r="A8" s="158"/>
      <c r="B8" s="15"/>
      <c r="C8" s="15"/>
      <c r="D8" s="15"/>
      <c r="E8" s="11" t="str">
        <f>SelectScenario!F12</f>
        <v>Direct Exhaust</v>
      </c>
      <c r="F8" s="69" t="str">
        <f>SelectScenario!G12</f>
        <v>NO</v>
      </c>
      <c r="G8" s="15"/>
      <c r="H8" s="69"/>
      <c r="I8" s="69"/>
      <c r="J8" s="69"/>
      <c r="K8" s="69"/>
      <c r="L8" s="69"/>
      <c r="M8" s="69"/>
      <c r="N8" s="69"/>
      <c r="O8" s="15"/>
      <c r="P8" s="131"/>
      <c r="Q8" s="15"/>
      <c r="R8" s="15"/>
      <c r="S8" s="15"/>
      <c r="T8" s="15"/>
      <c r="U8" s="131"/>
    </row>
    <row r="9" spans="1:21">
      <c r="A9" s="158"/>
      <c r="B9" s="15"/>
      <c r="C9" s="15"/>
      <c r="D9" s="15"/>
      <c r="E9" s="11" t="str">
        <f>SelectScenario!F13</f>
        <v>Draft Hood or Draft Diverter</v>
      </c>
      <c r="F9" s="69" t="str">
        <f>SelectScenario!G13</f>
        <v>YES</v>
      </c>
      <c r="G9" s="244" t="s">
        <v>146</v>
      </c>
      <c r="H9" s="245"/>
      <c r="I9" s="245"/>
      <c r="J9" s="245"/>
      <c r="K9" s="245"/>
      <c r="L9" s="245"/>
      <c r="M9" s="245"/>
      <c r="N9" s="156"/>
      <c r="O9" s="157"/>
      <c r="P9" s="131"/>
      <c r="Q9" s="15"/>
      <c r="R9" s="15"/>
      <c r="S9" s="15"/>
      <c r="T9" s="15"/>
      <c r="U9" s="131"/>
    </row>
    <row r="10" spans="1:21">
      <c r="A10" s="158"/>
      <c r="B10" s="15"/>
      <c r="C10" s="15"/>
      <c r="D10" s="15"/>
      <c r="E10" s="11" t="str">
        <f>SelectScenario!F14</f>
        <v>Barometric Draft</v>
      </c>
      <c r="F10" s="69" t="str">
        <f>SelectScenario!G14</f>
        <v>NO</v>
      </c>
      <c r="G10" s="217" t="s">
        <v>206</v>
      </c>
      <c r="H10" s="224">
        <f>I76</f>
        <v>83.923419103174197</v>
      </c>
      <c r="I10" s="243" t="s">
        <v>93</v>
      </c>
      <c r="L10" s="11" t="str">
        <f>A75</f>
        <v>Heating seasoning efficiency</v>
      </c>
      <c r="M10" s="224">
        <f>B76</f>
        <v>83.923419103174197</v>
      </c>
      <c r="N10" s="106" t="s">
        <v>93</v>
      </c>
      <c r="O10" s="131"/>
      <c r="P10" s="131"/>
      <c r="Q10" s="15"/>
      <c r="R10" s="15"/>
      <c r="S10" s="15"/>
      <c r="T10" s="15"/>
      <c r="U10" s="131"/>
    </row>
    <row r="11" spans="1:21">
      <c r="A11" s="158"/>
      <c r="B11" s="15"/>
      <c r="C11" s="15"/>
      <c r="D11" s="15"/>
      <c r="E11" s="11" t="str">
        <f>SelectScenario!F15</f>
        <v>Electrical/Mechanical Stack Damper</v>
      </c>
      <c r="F11" s="69" t="str">
        <f>SelectScenario!G15</f>
        <v>NO</v>
      </c>
      <c r="G11" s="158" t="str">
        <f>A69</f>
        <v>ON-Cycle Sensible Heat Loss.</v>
      </c>
      <c r="H11" s="15"/>
      <c r="I11" s="15"/>
      <c r="J11" s="352">
        <f>B70</f>
        <v>5.5353910868112477</v>
      </c>
      <c r="K11" s="15" t="s">
        <v>93</v>
      </c>
      <c r="L11" s="69"/>
      <c r="M11" s="69"/>
      <c r="N11" s="15"/>
      <c r="O11" s="131"/>
      <c r="P11" s="131"/>
      <c r="Q11" s="15"/>
      <c r="R11" s="15"/>
      <c r="S11" s="15"/>
      <c r="T11" s="15"/>
      <c r="U11" s="131"/>
    </row>
    <row r="12" spans="1:21">
      <c r="A12" s="158"/>
      <c r="B12" s="15"/>
      <c r="C12" s="15"/>
      <c r="D12" s="15"/>
      <c r="E12" s="11" t="str">
        <f>SelectScenario!F16</f>
        <v>Atomspheric Burner</v>
      </c>
      <c r="F12" s="69" t="str">
        <f>SelectScenario!G16</f>
        <v>NO</v>
      </c>
      <c r="G12" s="247" t="str">
        <f>H69</f>
        <v>OFF-Cycle Sensible Heat Loss</v>
      </c>
      <c r="H12" s="15"/>
      <c r="I12" s="15"/>
      <c r="J12" s="359">
        <f>I70</f>
        <v>7.9596163916834169E-5</v>
      </c>
      <c r="K12" s="15" t="s">
        <v>93</v>
      </c>
      <c r="L12" s="69"/>
      <c r="M12" s="69"/>
      <c r="N12" s="15"/>
      <c r="O12" s="131"/>
      <c r="P12" s="131"/>
      <c r="Q12" s="15"/>
      <c r="R12" s="15"/>
      <c r="S12" s="15"/>
      <c r="T12" s="15"/>
      <c r="U12" s="131"/>
    </row>
    <row r="13" spans="1:21">
      <c r="A13" s="158"/>
      <c r="B13" s="15"/>
      <c r="C13" s="15"/>
      <c r="D13" s="15"/>
      <c r="E13" s="11" t="str">
        <f>SelectScenario!F17</f>
        <v>Power Burner</v>
      </c>
      <c r="F13" s="69" t="str">
        <f>SelectScenario!G17</f>
        <v>YES</v>
      </c>
      <c r="G13" s="158" t="str">
        <f>A72</f>
        <v>ON-Cycle Infiltration Heat Loss.</v>
      </c>
      <c r="H13" s="15"/>
      <c r="I13" s="15"/>
      <c r="J13" s="357">
        <f>B73</f>
        <v>0.61776136951816363</v>
      </c>
      <c r="K13" s="15" t="s">
        <v>93</v>
      </c>
      <c r="L13" s="69"/>
      <c r="M13" s="69"/>
      <c r="N13" s="15"/>
      <c r="O13" s="131"/>
      <c r="P13" s="131"/>
      <c r="Q13" s="15"/>
      <c r="R13" s="15"/>
      <c r="S13" s="15"/>
      <c r="T13" s="15"/>
      <c r="U13" s="131"/>
    </row>
    <row r="14" spans="1:21" ht="12.75" thickBot="1">
      <c r="A14" s="158"/>
      <c r="B14" s="15"/>
      <c r="C14" s="15"/>
      <c r="D14" s="15"/>
      <c r="E14" s="11" t="str">
        <f>SelectScenario!F18</f>
        <v>Burner Inlet Damper or Flue Damper</v>
      </c>
      <c r="F14" s="69" t="str">
        <f>SelectScenario!G18</f>
        <v>NO</v>
      </c>
      <c r="G14" s="161" t="str">
        <f>H72</f>
        <v>OFF-Cycle Infiltration Heat Loss.</v>
      </c>
      <c r="H14" s="162"/>
      <c r="I14" s="162"/>
      <c r="J14" s="360">
        <f>I73</f>
        <v>0.37334884433247795</v>
      </c>
      <c r="K14" s="162" t="s">
        <v>93</v>
      </c>
      <c r="L14" s="248"/>
      <c r="M14" s="248"/>
      <c r="N14" s="162"/>
      <c r="O14" s="164"/>
      <c r="P14" s="131"/>
      <c r="Q14" s="15"/>
      <c r="R14" s="15"/>
      <c r="S14" s="15"/>
      <c r="T14" s="15"/>
      <c r="U14" s="131"/>
    </row>
    <row r="15" spans="1:21" ht="12.75" thickBot="1">
      <c r="A15" s="161"/>
      <c r="B15" s="162"/>
      <c r="C15" s="163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4"/>
      <c r="Q15" s="15"/>
      <c r="R15" s="15"/>
      <c r="S15" s="15"/>
      <c r="T15" s="15"/>
      <c r="U15" s="131"/>
    </row>
    <row r="16" spans="1:21" ht="12.75" thickBot="1">
      <c r="A16" s="161"/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4"/>
    </row>
    <row r="17" spans="1:21" ht="12.75" thickBot="1">
      <c r="A17" s="225" t="s">
        <v>216</v>
      </c>
      <c r="B17" s="229"/>
      <c r="C17" s="229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29"/>
      <c r="O17" s="229"/>
      <c r="P17" s="229"/>
      <c r="Q17" s="229"/>
      <c r="R17" s="229"/>
      <c r="S17" s="229"/>
      <c r="T17" s="229"/>
      <c r="U17" s="230"/>
    </row>
    <row r="18" spans="1:21">
      <c r="A18" s="216" t="s">
        <v>69</v>
      </c>
      <c r="B18" s="145"/>
      <c r="C18" s="145"/>
      <c r="D18" s="145"/>
      <c r="E18" s="145"/>
      <c r="F18" s="145"/>
      <c r="G18" s="15"/>
      <c r="H18" s="145" t="s">
        <v>94</v>
      </c>
      <c r="I18" s="145"/>
      <c r="J18" s="145"/>
      <c r="K18" s="145"/>
      <c r="L18" s="145"/>
      <c r="M18" s="145"/>
      <c r="N18" s="15"/>
      <c r="O18" s="145" t="s">
        <v>95</v>
      </c>
      <c r="P18" s="145"/>
      <c r="Q18" s="145"/>
      <c r="R18" s="145"/>
      <c r="S18" s="145"/>
      <c r="T18" s="145"/>
      <c r="U18" s="131"/>
    </row>
    <row r="19" spans="1:21" ht="13.5">
      <c r="A19" s="217" t="s">
        <v>148</v>
      </c>
      <c r="B19" s="149">
        <f>Others!F7+Others!G7/(DATAINPUTncnm!F41)</f>
        <v>1.3373945454545453</v>
      </c>
      <c r="C19" s="15" t="s">
        <v>106</v>
      </c>
      <c r="D19" s="15"/>
      <c r="E19" s="15"/>
      <c r="F19" s="15"/>
      <c r="G19" s="15"/>
      <c r="H19" s="11" t="s">
        <v>149</v>
      </c>
      <c r="I19" s="149">
        <f>Others!F7+Others!G7/(DATAINPUTncnm!F45)</f>
        <v>1.3373945454545453</v>
      </c>
      <c r="J19" s="15" t="s">
        <v>106</v>
      </c>
      <c r="K19" s="15"/>
      <c r="L19" s="15"/>
      <c r="M19" s="15"/>
      <c r="N19" s="15"/>
      <c r="O19" s="11" t="s">
        <v>96</v>
      </c>
      <c r="P19" s="147">
        <f>IF(SelectScenario!G12="YES",1,IF(SelectScenario!G13="YES",1.3*(I19/B19),IF(SelectScenario!G14="YES",1.4,AFUEAncnm!I19/AFUEAncnm!B19)))</f>
        <v>1.3</v>
      </c>
      <c r="Q19" s="15" t="s">
        <v>106</v>
      </c>
      <c r="R19" s="15"/>
      <c r="S19" s="15"/>
      <c r="T19" s="15"/>
      <c r="U19" s="131"/>
    </row>
    <row r="20" spans="1:21">
      <c r="A20" s="158"/>
      <c r="B20" s="15"/>
      <c r="C20" s="15"/>
      <c r="D20" s="15"/>
      <c r="E20" s="15"/>
      <c r="F20" s="15"/>
      <c r="G20" s="15"/>
      <c r="H20" s="218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31"/>
    </row>
    <row r="21" spans="1:21">
      <c r="A21" s="216" t="s">
        <v>209</v>
      </c>
      <c r="B21" s="145"/>
      <c r="C21" s="145"/>
      <c r="D21" s="145"/>
      <c r="E21" s="145"/>
      <c r="F21" s="145"/>
      <c r="G21" s="15"/>
      <c r="H21" s="145" t="s">
        <v>208</v>
      </c>
      <c r="I21" s="145"/>
      <c r="J21" s="145"/>
      <c r="K21" s="145"/>
      <c r="L21" s="145"/>
      <c r="M21" s="145"/>
      <c r="N21" s="15"/>
      <c r="O21" s="145" t="s">
        <v>200</v>
      </c>
      <c r="P21" s="145"/>
      <c r="Q21" s="145"/>
      <c r="R21" s="145"/>
      <c r="S21" s="145"/>
      <c r="T21" s="145"/>
      <c r="U21" s="131"/>
    </row>
    <row r="22" spans="1:21" ht="13.5">
      <c r="A22" s="217" t="s">
        <v>210</v>
      </c>
      <c r="B22" s="147">
        <f>DATAINPUTncnm!F33-DATAINPUTncnm!F58</f>
        <v>280</v>
      </c>
      <c r="C22" s="15" t="str">
        <f>IF(UNIT="SI-Unit","C-Degree","F-Degree")</f>
        <v>F-Degree</v>
      </c>
      <c r="D22" s="15"/>
      <c r="E22" s="15"/>
      <c r="F22" s="15"/>
      <c r="G22" s="15"/>
      <c r="H22" s="11" t="s">
        <v>150</v>
      </c>
      <c r="I22" s="130">
        <f>DATAINPUTncnm!F37-DATAINPUTncnm!F58</f>
        <v>260</v>
      </c>
      <c r="J22" s="15" t="str">
        <f>IF(UNIT="SI-Unit","C-Degree","F-Degree")</f>
        <v>F-Degree</v>
      </c>
      <c r="K22" s="15"/>
      <c r="L22" s="15"/>
      <c r="M22" s="15"/>
      <c r="N22" s="15"/>
      <c r="O22" s="11" t="s">
        <v>207</v>
      </c>
      <c r="P22" s="179">
        <f>(B19/Others!D7+1)*DATAINPUTncnm!F25/60/(IF(UNIT="SI-Unit",Others!C7,Others!B7))</f>
        <v>6.3352160289807766E-2</v>
      </c>
      <c r="Q22" s="15" t="str">
        <f>IF(UNIT="SI-Unit","KG/HR","LB/HR")</f>
        <v>LB/HR</v>
      </c>
      <c r="R22" s="15"/>
      <c r="S22" s="15"/>
      <c r="T22" s="15"/>
      <c r="U22" s="131"/>
    </row>
    <row r="23" spans="1:21">
      <c r="A23" s="217"/>
      <c r="B23" s="15"/>
      <c r="C23" s="15"/>
      <c r="D23" s="15"/>
      <c r="E23" s="15"/>
      <c r="F23" s="15"/>
      <c r="G23" s="15"/>
      <c r="H23" s="218"/>
      <c r="I23" s="15"/>
      <c r="J23" s="15"/>
      <c r="L23" s="15"/>
      <c r="M23" s="15"/>
      <c r="N23" s="15"/>
      <c r="O23" s="15"/>
      <c r="P23" s="15"/>
      <c r="Q23" s="15"/>
      <c r="R23" s="15"/>
      <c r="S23" s="15"/>
      <c r="T23" s="15"/>
      <c r="U23" s="131"/>
    </row>
    <row r="24" spans="1:21">
      <c r="A24" s="216" t="s">
        <v>97</v>
      </c>
      <c r="B24" s="145"/>
      <c r="C24" s="145"/>
      <c r="D24" s="145"/>
      <c r="E24" s="145"/>
      <c r="F24" s="145"/>
      <c r="G24" s="15"/>
      <c r="H24" s="145" t="s">
        <v>98</v>
      </c>
      <c r="I24" s="145"/>
      <c r="J24" s="145"/>
      <c r="K24" s="145"/>
      <c r="L24" s="145"/>
      <c r="M24" s="145"/>
      <c r="N24" s="15"/>
      <c r="O24" s="145" t="s">
        <v>101</v>
      </c>
      <c r="P24" s="145"/>
      <c r="Q24" s="145"/>
      <c r="R24" s="145"/>
      <c r="S24" s="145"/>
      <c r="T24" s="145"/>
      <c r="U24" s="131"/>
    </row>
    <row r="25" spans="1:21" ht="13.5">
      <c r="A25" s="217" t="s">
        <v>147</v>
      </c>
      <c r="B25" s="146">
        <f>LSSS(Others!D7,IF(UNIT="SI-Unit",Others!N7,Others!M7),IF(UNIT="SI-Unit",Others!P7,Others!O7),IF(UNIT="SI-Unit",Others!C7,Others!B7),Others!H7,Others!I7,Others!J7,Others!K7,Others!L7,Others!B10,Others!C10,Others!D10,Others!E10,Others!F10,IF(B19,B19,I19),IF(DATAINPUTncnm!F33,DATAINPUTncnm!F33,DATAINPUTncnm!F37),IF(UNIT="SI-Unit",Others!C3,Others!B3),DATAINPUTncnm!F58)</f>
        <v>7.4198031559528967</v>
      </c>
      <c r="C25" s="15" t="s">
        <v>93</v>
      </c>
      <c r="D25" s="11" t="s">
        <v>15</v>
      </c>
      <c r="E25" s="148">
        <f>IF(B26,B26,B25)</f>
        <v>7.4198031559528967</v>
      </c>
      <c r="F25" s="15" t="s">
        <v>93</v>
      </c>
      <c r="G25" s="15"/>
      <c r="H25" s="11" t="s">
        <v>211</v>
      </c>
      <c r="I25" s="146">
        <f>100-Others!E7-E25</f>
        <v>83.030196844047111</v>
      </c>
      <c r="J25" s="15" t="s">
        <v>93</v>
      </c>
      <c r="K25" s="11" t="s">
        <v>15</v>
      </c>
      <c r="L25" s="148">
        <f>IF(I26,I26,I25)</f>
        <v>83.030196844047111</v>
      </c>
      <c r="M25" s="15" t="s">
        <v>93</v>
      </c>
      <c r="N25" s="15"/>
      <c r="O25" s="11" t="s">
        <v>102</v>
      </c>
      <c r="P25" s="146">
        <f>LJ(DATAINPUTncnm!F25,DATAINPUTncnm!W66,DATAINPUTncnm!W69,DATAINPUTncnm!W72,DATAINPUTncnm!F58,DATAINPUTncnm!S66,DATAINPUTncnm!S69,DATAINPUTncnm!S72,DATAINPUTncnm!S75,UNIT)</f>
        <v>0.17591247348007641</v>
      </c>
      <c r="Q25" s="15" t="s">
        <v>93</v>
      </c>
      <c r="R25" s="11" t="s">
        <v>15</v>
      </c>
      <c r="S25" s="180">
        <f>IF(P26,P26,P25)</f>
        <v>0.17591247348007641</v>
      </c>
      <c r="T25" s="15" t="s">
        <v>93</v>
      </c>
      <c r="U25" s="131"/>
    </row>
    <row r="26" spans="1:21">
      <c r="A26" s="217" t="s">
        <v>16</v>
      </c>
      <c r="B26" s="130"/>
      <c r="C26" s="15" t="s">
        <v>93</v>
      </c>
      <c r="D26" s="15"/>
      <c r="E26" s="15"/>
      <c r="F26" s="15"/>
      <c r="G26" s="15"/>
      <c r="H26" s="11" t="s">
        <v>16</v>
      </c>
      <c r="I26" s="130"/>
      <c r="J26" s="15" t="s">
        <v>93</v>
      </c>
      <c r="K26" s="15"/>
      <c r="L26" s="15"/>
      <c r="M26" s="15"/>
      <c r="N26" s="15"/>
      <c r="O26" s="11" t="s">
        <v>16</v>
      </c>
      <c r="P26" s="130"/>
      <c r="Q26" s="15" t="s">
        <v>93</v>
      </c>
      <c r="R26" s="15"/>
      <c r="S26" s="15"/>
      <c r="T26" s="15"/>
      <c r="U26" s="131"/>
    </row>
    <row r="27" spans="1:21" ht="12.75" thickBot="1">
      <c r="A27" s="217"/>
      <c r="B27" s="15"/>
      <c r="C27" s="15"/>
      <c r="D27" s="15"/>
      <c r="E27" s="15"/>
      <c r="F27" s="15"/>
      <c r="G27" s="15"/>
      <c r="H27" s="11"/>
      <c r="I27" s="15"/>
      <c r="J27" s="15"/>
      <c r="K27" s="15"/>
      <c r="L27" s="15"/>
      <c r="M27" s="15"/>
      <c r="N27" s="15"/>
      <c r="O27" s="11"/>
      <c r="P27" s="15"/>
      <c r="Q27" s="15"/>
      <c r="R27" s="15"/>
      <c r="S27" s="15"/>
      <c r="T27" s="15"/>
      <c r="U27" s="131"/>
    </row>
    <row r="28" spans="1:21" ht="12.75" thickBot="1">
      <c r="A28" s="256" t="s">
        <v>99</v>
      </c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8"/>
      <c r="T28" s="257"/>
      <c r="U28" s="259"/>
    </row>
    <row r="29" spans="1:21">
      <c r="A29" s="216" t="s">
        <v>100</v>
      </c>
      <c r="B29" s="145"/>
      <c r="C29" s="145"/>
      <c r="D29" s="145"/>
      <c r="E29" s="145"/>
      <c r="F29" s="145"/>
      <c r="G29" s="15"/>
      <c r="H29" s="145" t="s">
        <v>104</v>
      </c>
      <c r="I29" s="145"/>
      <c r="J29" s="145"/>
      <c r="K29" s="145"/>
      <c r="L29" s="145"/>
      <c r="M29" s="145"/>
      <c r="N29" s="15"/>
      <c r="O29" s="145" t="s">
        <v>105</v>
      </c>
      <c r="P29" s="145"/>
      <c r="Q29" s="145"/>
      <c r="R29" s="145"/>
      <c r="S29" s="145"/>
      <c r="T29" s="145"/>
      <c r="U29" s="131"/>
    </row>
    <row r="30" spans="1:21" ht="13.5">
      <c r="A30" s="217" t="s">
        <v>151</v>
      </c>
      <c r="B30" s="146">
        <f>DATAINPUTncnm!F25*(AFUEAncnm!I25-P25*IF(SelectScenario!G23="YES",0,IF(AND(SelectScenario!G11="YES",SelectScenario!B27="Outdoor"),3.3,1.7)))/100</f>
        <v>58121.137790832974</v>
      </c>
      <c r="C30" s="15" t="str">
        <f>IF(UNIT="SI-Unit","kW","BTU/HR")</f>
        <v>BTU/HR</v>
      </c>
      <c r="D30" s="15"/>
      <c r="E30" s="15"/>
      <c r="F30" s="15"/>
      <c r="G30" s="15"/>
      <c r="H30" s="219" t="s">
        <v>103</v>
      </c>
      <c r="I30" s="147">
        <f>0.7</f>
        <v>0.7</v>
      </c>
      <c r="J30" s="15" t="s">
        <v>106</v>
      </c>
      <c r="K30" s="15"/>
      <c r="L30" s="15"/>
      <c r="M30" s="15"/>
      <c r="N30" s="15"/>
      <c r="O30" s="219" t="s">
        <v>152</v>
      </c>
      <c r="P30" s="147">
        <f>IF(UNIT="SI-Unit",5.6,42)</f>
        <v>42</v>
      </c>
      <c r="Q30" s="15" t="str">
        <f>IF(UNIT="SI-Unit","C-Degree","F-Degree")</f>
        <v>F-Degree</v>
      </c>
      <c r="R30" s="15"/>
      <c r="S30" s="15"/>
      <c r="T30" s="15"/>
      <c r="U30" s="131"/>
    </row>
    <row r="31" spans="1:21" ht="12.75" thickBot="1">
      <c r="A31" s="158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31"/>
    </row>
    <row r="32" spans="1:21" ht="12.75" thickBot="1">
      <c r="A32" s="225" t="s">
        <v>217</v>
      </c>
      <c r="B32" s="229"/>
      <c r="C32" s="229"/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30"/>
    </row>
    <row r="33" spans="1:21">
      <c r="A33" s="216" t="s">
        <v>113</v>
      </c>
      <c r="B33" s="145"/>
      <c r="C33" s="145"/>
      <c r="D33" s="145"/>
      <c r="E33" s="145"/>
      <c r="F33" s="145"/>
      <c r="G33" s="15"/>
      <c r="H33" s="145" t="s">
        <v>114</v>
      </c>
      <c r="I33" s="145"/>
      <c r="J33" s="145"/>
      <c r="K33" s="145"/>
      <c r="L33" s="145"/>
      <c r="M33" s="145"/>
      <c r="N33" s="15"/>
      <c r="O33" s="145" t="s">
        <v>115</v>
      </c>
      <c r="P33" s="145"/>
      <c r="Q33" s="145"/>
      <c r="R33" s="145"/>
      <c r="S33" s="145"/>
      <c r="T33" s="145"/>
      <c r="U33" s="131"/>
    </row>
    <row r="34" spans="1:21" ht="13.5">
      <c r="A34" s="217" t="s">
        <v>153</v>
      </c>
      <c r="B34" s="149">
        <f>100*IF(UNIT="SI-Unit",CPAIRSI,CPAIRBRITISH)*(1+B19*Others!D7)/(IF(UNIT="SI-Unit",Others!C7,Others!B7))</f>
        <v>2.4244951707934208E-2</v>
      </c>
      <c r="C34" s="15" t="s">
        <v>106</v>
      </c>
      <c r="D34" s="15"/>
      <c r="E34" s="15"/>
      <c r="F34" s="15"/>
      <c r="G34" s="15"/>
      <c r="H34" s="11" t="s">
        <v>154</v>
      </c>
      <c r="I34" s="149">
        <f>IF(SYSTEMNUMBER&lt;9,0.7*AFUEAncnm!P19*AFUEAncnm!B34,0)</f>
        <v>2.2062906054220129E-2</v>
      </c>
      <c r="J34" s="15" t="s">
        <v>106</v>
      </c>
      <c r="K34" s="15"/>
      <c r="L34" s="15"/>
      <c r="M34" s="15"/>
      <c r="N34" s="15"/>
      <c r="O34" s="11" t="s">
        <v>155</v>
      </c>
      <c r="P34" s="146">
        <f>(DATAINPUTncnm!F33-DATAINPUTncnm!F58)/AFUEAncnm!P19+DATAINPUTncnm!F58</f>
        <v>285.38461538461536</v>
      </c>
      <c r="Q34" s="15" t="str">
        <f>IF(UNIT="SI-Unit","C-Degree","F-Degree")</f>
        <v>F-Degree</v>
      </c>
      <c r="R34" s="15"/>
      <c r="S34" s="15"/>
      <c r="T34" s="15"/>
      <c r="U34" s="131"/>
    </row>
    <row r="35" spans="1:21">
      <c r="A35" s="158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31"/>
    </row>
    <row r="36" spans="1:21">
      <c r="A36" s="216" t="s">
        <v>116</v>
      </c>
      <c r="B36" s="145"/>
      <c r="C36" s="145"/>
      <c r="D36" s="145"/>
      <c r="E36" s="145"/>
      <c r="F36" s="145"/>
      <c r="G36" s="15"/>
      <c r="H36" s="145" t="s">
        <v>124</v>
      </c>
      <c r="I36" s="145"/>
      <c r="J36" s="145"/>
      <c r="K36" s="145"/>
      <c r="L36" s="145"/>
      <c r="M36" s="145"/>
      <c r="N36" s="15"/>
      <c r="O36" s="145" t="s">
        <v>127</v>
      </c>
      <c r="P36" s="145"/>
      <c r="Q36" s="145"/>
      <c r="R36" s="145"/>
      <c r="S36" s="145"/>
      <c r="T36" s="145"/>
      <c r="U36" s="131"/>
    </row>
    <row r="37" spans="1:21" ht="13.5">
      <c r="A37" s="220" t="s">
        <v>156</v>
      </c>
      <c r="B37" s="149">
        <f>(2.5-0.5)/LN((DATAINPUTncnm!F33-DATAINPUTncnm!F97)/(DATAINPUTncnm!F33-DATAINPUTncnm!F101))</f>
        <v>1.8204784532536746</v>
      </c>
      <c r="C37" s="15" t="s">
        <v>117</v>
      </c>
      <c r="D37" s="15"/>
      <c r="E37" s="15"/>
      <c r="F37" s="15"/>
      <c r="G37" s="15"/>
      <c r="H37" s="11" t="s">
        <v>126</v>
      </c>
      <c r="I37" s="149">
        <f>3.87/AFUEAncnm!B37</f>
        <v>2.1258147785727926</v>
      </c>
      <c r="J37" s="15" t="s">
        <v>106</v>
      </c>
      <c r="K37" s="15"/>
      <c r="L37" s="15"/>
      <c r="M37" s="15"/>
      <c r="N37" s="15"/>
      <c r="O37" s="11" t="s">
        <v>166</v>
      </c>
      <c r="P37" s="149">
        <f>(1-(B54/EXP(I44))/(DATAINPUTncnm!F33-DATAINPUTncnm!F75))/(1-(B63*B54/EXP(I37+I44))/(DATAINPUTncnm!F33-DATAINPUTncnm!F75)^2)</f>
        <v>0.95038157856550809</v>
      </c>
      <c r="Q37" s="15" t="s">
        <v>106</v>
      </c>
      <c r="R37" s="15"/>
      <c r="S37" s="15"/>
      <c r="T37" s="15"/>
      <c r="U37" s="131"/>
    </row>
    <row r="38" spans="1:21" ht="12.75" thickBot="1">
      <c r="A38" s="220"/>
      <c r="B38" s="150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31"/>
    </row>
    <row r="39" spans="1:21" ht="12.75" thickBot="1">
      <c r="A39" s="225" t="s">
        <v>218</v>
      </c>
      <c r="B39" s="228"/>
      <c r="C39" s="229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30"/>
    </row>
    <row r="40" spans="1:21">
      <c r="A40" s="216" t="s">
        <v>174</v>
      </c>
      <c r="B40" s="145"/>
      <c r="C40" s="145"/>
      <c r="D40" s="145"/>
      <c r="E40" s="145"/>
      <c r="F40" s="145"/>
      <c r="G40" s="15"/>
      <c r="H40" s="145" t="s">
        <v>194</v>
      </c>
      <c r="I40" s="145"/>
      <c r="J40" s="145"/>
      <c r="K40" s="145"/>
      <c r="L40" s="145"/>
      <c r="M40" s="145"/>
      <c r="N40" s="15"/>
      <c r="O40" s="15"/>
      <c r="P40" s="15"/>
      <c r="Q40" s="15"/>
      <c r="R40" s="15"/>
      <c r="S40" s="15"/>
      <c r="T40" s="15"/>
      <c r="U40" s="131"/>
    </row>
    <row r="41" spans="1:21" ht="13.5">
      <c r="A41" s="217" t="s">
        <v>175</v>
      </c>
      <c r="B41" s="149">
        <f>KS1OFF(DATAINPUTncnm!F33,P34,DATAINPUTncnm!F58,B51,B47,P19,B34,I34,I51,L51,1,SYSTEMNUMBER,UNIT,P30)</f>
        <v>1.1950057353300088</v>
      </c>
      <c r="C41" s="15" t="s">
        <v>106</v>
      </c>
      <c r="D41" s="15"/>
      <c r="E41" s="15"/>
      <c r="F41" s="15"/>
      <c r="G41" s="15"/>
      <c r="H41" s="11" t="s">
        <v>196</v>
      </c>
      <c r="I41" s="149">
        <f>KS1OFF(DATAINPUTncnm!F33,P34,DATAINPUTncnm!F54,B51,B47,P19,B34,I34,I51,L51,2,SYSTEMNUMBER,UNIT,P30)</f>
        <v>1.0368447255772706</v>
      </c>
      <c r="J41" s="15" t="s">
        <v>106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31"/>
    </row>
    <row r="42" spans="1:21">
      <c r="A42" s="158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31"/>
    </row>
    <row r="43" spans="1:21">
      <c r="A43" s="216" t="s">
        <v>118</v>
      </c>
      <c r="B43" s="145"/>
      <c r="C43" s="145"/>
      <c r="D43" s="145"/>
      <c r="E43" s="145"/>
      <c r="F43" s="145"/>
      <c r="G43" s="15"/>
      <c r="H43" s="145" t="s">
        <v>125</v>
      </c>
      <c r="I43" s="145"/>
      <c r="J43" s="145"/>
      <c r="K43" s="145"/>
      <c r="L43" s="145"/>
      <c r="M43" s="145"/>
      <c r="N43" s="15"/>
      <c r="O43" s="145" t="s">
        <v>128</v>
      </c>
      <c r="P43" s="145"/>
      <c r="Q43" s="145"/>
      <c r="R43" s="145"/>
      <c r="S43" s="145"/>
      <c r="T43" s="145"/>
      <c r="U43" s="131"/>
    </row>
    <row r="44" spans="1:21" ht="13.5">
      <c r="A44" s="220" t="s">
        <v>157</v>
      </c>
      <c r="B44" s="149">
        <f>(9-1.5)/LN((DATAINPUTncnm!F67-DATAINPUTncnm!F75)/(DATAINPUTncnm!F71-DATAINPUTncnm!F75))</f>
        <v>8.1851750095296847</v>
      </c>
      <c r="C44" s="15" t="s">
        <v>117</v>
      </c>
      <c r="D44" s="15"/>
      <c r="E44" s="15"/>
      <c r="F44" s="15"/>
      <c r="G44" s="15"/>
      <c r="H44" s="11" t="s">
        <v>164</v>
      </c>
      <c r="I44" s="149">
        <f>IF(SelectScenario!G58="YES",(13.3-DATAINPUTncnm!A86)/B44,13.3/B44)</f>
        <v>1.6248888978568352</v>
      </c>
      <c r="J44" s="15" t="s">
        <v>106</v>
      </c>
      <c r="K44" s="15"/>
      <c r="L44" s="15"/>
      <c r="M44" s="15"/>
      <c r="N44" s="15"/>
      <c r="O44" s="11" t="s">
        <v>167</v>
      </c>
      <c r="P44" s="149">
        <f>IF(SelectScenario!G59="YES",1,0.9)*(1-(B63/EXP(I37))/(DATAINPUTncnm!F33-DATAINPUTncnm!F75))/(1-(B63*B54/EXP(I37+I44))/(DATAINPUTncnm!F33-DATAINPUTncnm!F75)^2)</f>
        <v>0.828034485826458</v>
      </c>
      <c r="Q44" s="15" t="s">
        <v>106</v>
      </c>
      <c r="R44" s="15"/>
      <c r="S44" s="15"/>
      <c r="T44" s="15"/>
      <c r="U44" s="131"/>
    </row>
    <row r="45" spans="1:21">
      <c r="A45" s="220"/>
      <c r="B45" s="150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31"/>
    </row>
    <row r="46" spans="1:21">
      <c r="A46" s="216" t="s">
        <v>219</v>
      </c>
      <c r="B46" s="145"/>
      <c r="C46" s="145"/>
      <c r="D46" s="145"/>
      <c r="E46" s="145"/>
      <c r="F46" s="145"/>
      <c r="G46" s="15"/>
      <c r="H46" s="15"/>
      <c r="I46" s="15"/>
      <c r="J46" s="15"/>
      <c r="K46" s="15"/>
      <c r="L46" s="15"/>
      <c r="M46" s="15"/>
      <c r="N46" s="15"/>
      <c r="O46" s="11"/>
      <c r="P46" s="11"/>
      <c r="Q46" s="151"/>
      <c r="R46" s="15"/>
      <c r="S46" s="15"/>
      <c r="T46" s="15"/>
      <c r="U46" s="131"/>
    </row>
    <row r="47" spans="1:21" ht="13.5">
      <c r="A47" s="217" t="s">
        <v>158</v>
      </c>
      <c r="B47" s="147">
        <f>IF(B48="NO",0.05,IF(OR(AND(SYSTEMNUMBER=1,OR(SelectScenario!G15="YES",SelectScenario!G18="YES")),SYSTEMNUMBER=9),1,IF(OR(SYSTEMNUMBER=2,SYSTEMNUMBER=3,SYSTEMNUMBER=4,SYSTEMNUMBER=8,SYSTEMNUMBER=10),0.4,1)))</f>
        <v>0.4</v>
      </c>
      <c r="C47" s="15" t="s">
        <v>106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1"/>
      <c r="P47" s="11"/>
      <c r="Q47" s="151"/>
      <c r="R47" s="15"/>
      <c r="S47" s="15"/>
      <c r="T47" s="15"/>
      <c r="U47" s="131"/>
    </row>
    <row r="48" spans="1:21">
      <c r="A48" s="217" t="s">
        <v>16</v>
      </c>
      <c r="B48" s="142" t="s">
        <v>18</v>
      </c>
      <c r="C48" s="151" t="s">
        <v>159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1"/>
      <c r="P48" s="11"/>
      <c r="Q48" s="151"/>
      <c r="R48" s="15"/>
      <c r="S48" s="15"/>
      <c r="T48" s="15"/>
      <c r="U48" s="131"/>
    </row>
    <row r="49" spans="1:21">
      <c r="A49" s="220"/>
      <c r="B49" s="150"/>
      <c r="C49" s="15"/>
      <c r="D49" s="15"/>
      <c r="E49" s="15"/>
      <c r="F49" s="15"/>
      <c r="G49" s="15"/>
      <c r="H49" s="221"/>
      <c r="I49" s="150"/>
      <c r="J49" s="15"/>
      <c r="K49" s="15"/>
      <c r="L49" s="15"/>
      <c r="M49" s="15"/>
      <c r="N49" s="15"/>
      <c r="O49" s="11"/>
      <c r="P49" s="15"/>
      <c r="Q49" s="151"/>
      <c r="R49" s="15"/>
      <c r="S49" s="15"/>
      <c r="T49" s="15"/>
      <c r="U49" s="131"/>
    </row>
    <row r="50" spans="1:21">
      <c r="A50" s="158" t="s">
        <v>129</v>
      </c>
      <c r="B50" s="150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45"/>
      <c r="N50" s="15"/>
      <c r="O50" s="145" t="s">
        <v>122</v>
      </c>
      <c r="P50" s="145"/>
      <c r="Q50" s="145"/>
      <c r="R50" s="145"/>
      <c r="S50" s="145"/>
      <c r="T50" s="145"/>
      <c r="U50" s="131"/>
    </row>
    <row r="51" spans="1:21" ht="15">
      <c r="A51" s="222" t="s">
        <v>130</v>
      </c>
      <c r="B51" s="234">
        <f>IF(OR(SYSTEMNUMBER=1,SYSTEMNUMBER=2),1,IF(SYSTEMNUMBER=3,0.4,IF(SYSTEMNUMBER=4,0.85,IF(OR(SYSTEMNUMBER=5,SYSTEMNUMBER=6),I51,IF(SYSTEMNUMBER=8,0.85*I51,0)))))</f>
        <v>0.4</v>
      </c>
      <c r="C51" s="183" t="s">
        <v>106</v>
      </c>
      <c r="D51" s="182"/>
      <c r="E51" s="184"/>
      <c r="F51" s="183"/>
      <c r="G51" s="11"/>
      <c r="H51" s="185" t="s">
        <v>144</v>
      </c>
      <c r="I51" s="186">
        <f>DOIDS(B44,DATAINPUTncnm!R43,DATAINPUTncnm!R46,P60,P54,B57,P19,B47,P51,DATAINPUTncnm!W43,DATAINPUTncnm!W46,DATAINPUTncnm!W49,DATAINPUTncnm!W52,DATAINPUTncnm!W55,1,13.3)</f>
        <v>0.65066926284947679</v>
      </c>
      <c r="J51" s="187" t="s">
        <v>106</v>
      </c>
      <c r="K51" s="182" t="s">
        <v>195</v>
      </c>
      <c r="L51" s="186">
        <f>DOIDS(B44,DATAINPUTncnm!R43,DATAINPUTncnm!R46,AFUEAncnm!P60,P54,AFUEAncnm!B57,AFUEAncnm!P19,AFUEAncnm!B47,P51,DATAINPUTncnm!W43,DATAINPUTncnm!W46,DATAINPUTncnm!W49,DATAINPUTncnm!W52,DATAINPUTncnm!W55,2,13.3)</f>
        <v>0.46287398316137557</v>
      </c>
      <c r="M51" s="187" t="s">
        <v>106</v>
      </c>
      <c r="N51" s="15"/>
      <c r="O51" s="11" t="s">
        <v>123</v>
      </c>
      <c r="P51" s="152">
        <f>IF(SYSTEMNUMBER=3,0.4,IF(OR(SYSTEMNUMBER=4,SYSTEMNUMBER=8),0.85,1))</f>
        <v>0.4</v>
      </c>
      <c r="Q51" s="15" t="s">
        <v>106</v>
      </c>
      <c r="R51" s="15"/>
      <c r="S51" s="15"/>
      <c r="T51" s="15"/>
      <c r="U51" s="131"/>
    </row>
    <row r="52" spans="1:21">
      <c r="A52" s="220"/>
      <c r="B52" s="150"/>
      <c r="C52" s="15"/>
      <c r="D52" s="15"/>
      <c r="E52" s="15"/>
      <c r="F52" s="15"/>
      <c r="G52" s="15"/>
      <c r="H52" s="11"/>
      <c r="I52" s="153"/>
      <c r="J52" s="15"/>
      <c r="K52" s="15"/>
      <c r="L52" s="15"/>
      <c r="M52" s="15"/>
      <c r="N52" s="15"/>
      <c r="O52" s="11"/>
      <c r="P52" s="15"/>
      <c r="Q52" s="15"/>
      <c r="R52" s="15"/>
      <c r="S52" s="15"/>
      <c r="T52" s="15"/>
      <c r="U52" s="131"/>
    </row>
    <row r="53" spans="1:21">
      <c r="A53" s="216" t="s">
        <v>221</v>
      </c>
      <c r="B53" s="145"/>
      <c r="C53" s="145"/>
      <c r="D53" s="145"/>
      <c r="E53" s="145"/>
      <c r="F53" s="145"/>
      <c r="G53" s="15"/>
      <c r="H53" s="145" t="s">
        <v>222</v>
      </c>
      <c r="I53" s="145"/>
      <c r="J53" s="145"/>
      <c r="K53" s="145"/>
      <c r="L53" s="145"/>
      <c r="M53" s="145"/>
      <c r="N53" s="15"/>
      <c r="O53" s="145" t="s">
        <v>225</v>
      </c>
      <c r="P53" s="145"/>
      <c r="Q53" s="145"/>
      <c r="R53" s="145"/>
      <c r="S53" s="145"/>
      <c r="T53" s="145"/>
      <c r="U53" s="131"/>
    </row>
    <row r="54" spans="1:21" ht="13.5">
      <c r="A54" s="220" t="s">
        <v>160</v>
      </c>
      <c r="B54" s="146">
        <f>(DATAINPUTncnm!F67-DATAINPUTncnm!F75)*EXP(DATAINPUTncnm!A66/AFUEAncnm!B44)</f>
        <v>76.678806009064587</v>
      </c>
      <c r="C54" s="15" t="str">
        <f>IF(UNIT="SI-Unit","C-Degree","F-Degree")</f>
        <v>F-Degree</v>
      </c>
      <c r="D54" s="15"/>
      <c r="E54" s="15"/>
      <c r="F54" s="15"/>
      <c r="G54" s="15"/>
      <c r="H54" s="221" t="s">
        <v>161</v>
      </c>
      <c r="I54" s="146">
        <f>DATAINPUTncnm!F75-DATAINPUTncnm!F58</f>
        <v>0</v>
      </c>
      <c r="J54" s="15" t="str">
        <f>IF(UNIT="SI-Unit","C-Degree","F-Degree")</f>
        <v>F-Degree</v>
      </c>
      <c r="K54" s="15"/>
      <c r="L54" s="15"/>
      <c r="M54" s="15"/>
      <c r="N54" s="15"/>
      <c r="O54" s="221" t="s">
        <v>168</v>
      </c>
      <c r="P54" s="146">
        <f>IF(SYSTEMNUMBER&lt;9,B54*P44,1.22*P44*B54)</f>
        <v>63.492695707502513</v>
      </c>
      <c r="Q54" s="15" t="str">
        <f>IF(UNIT="SI-Unit","C-Degree","F-Degree")</f>
        <v>F-Degree</v>
      </c>
      <c r="R54" s="15"/>
      <c r="S54" s="15"/>
      <c r="T54" s="15"/>
      <c r="U54" s="131"/>
    </row>
    <row r="55" spans="1:21">
      <c r="A55" s="158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31"/>
    </row>
    <row r="56" spans="1:21" ht="12.75">
      <c r="A56" s="216" t="s">
        <v>224</v>
      </c>
      <c r="B56" s="145"/>
      <c r="C56" s="145"/>
      <c r="D56" s="145"/>
      <c r="E56" s="145"/>
      <c r="F56" s="14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31"/>
    </row>
    <row r="57" spans="1:21" ht="13.5">
      <c r="A57" s="220" t="s">
        <v>169</v>
      </c>
      <c r="B57" s="146">
        <f>IF(SYSTEMNUMBER&lt;9,I54,1.22*I54)</f>
        <v>0</v>
      </c>
      <c r="C57" s="15" t="str">
        <f>IF(UNIT="SI-Unit","C-Degree","F-Degree")</f>
        <v>F-Degree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31"/>
    </row>
    <row r="58" spans="1:21">
      <c r="A58" s="158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31"/>
    </row>
    <row r="59" spans="1:21" ht="12.75">
      <c r="A59" s="216" t="s">
        <v>220</v>
      </c>
      <c r="B59" s="145"/>
      <c r="C59" s="145"/>
      <c r="D59" s="145"/>
      <c r="E59" s="145"/>
      <c r="F59" s="145"/>
      <c r="G59" s="15"/>
      <c r="H59" s="145" t="s">
        <v>223</v>
      </c>
      <c r="I59" s="145"/>
      <c r="J59" s="145"/>
      <c r="K59" s="145"/>
      <c r="L59" s="145"/>
      <c r="M59" s="145"/>
      <c r="N59" s="15"/>
      <c r="O59" s="145" t="s">
        <v>226</v>
      </c>
      <c r="P59" s="145"/>
      <c r="Q59" s="145"/>
      <c r="R59" s="145"/>
      <c r="S59" s="145"/>
      <c r="T59" s="145"/>
      <c r="U59" s="131"/>
    </row>
    <row r="60" spans="1:21" ht="13.5">
      <c r="A60" s="220" t="s">
        <v>163</v>
      </c>
      <c r="B60" s="146">
        <f>IF(AND(SYSTEMNUMBER&gt;4,SYSTEMNUMBER&lt;9,P19*P51&lt;=B47),B54,B47*B54/P19/P51)</f>
        <v>58.983696930049682</v>
      </c>
      <c r="C60" s="15" t="str">
        <f>IF(UNIT="SI-Unit","C-Degree","F-Degree")</f>
        <v>F-Degree</v>
      </c>
      <c r="D60" s="15"/>
      <c r="E60" s="15"/>
      <c r="F60" s="15"/>
      <c r="G60" s="15"/>
      <c r="H60" s="221" t="s">
        <v>162</v>
      </c>
      <c r="I60" s="147">
        <f>IF(AND(P51*P19&lt;B47,SYSTEMNUMBER=5,,SYSTEMNUMBER=6,,SYSTEMNUMBER=8),I54,B47*I54/(P19*P51))</f>
        <v>0</v>
      </c>
      <c r="J60" s="15" t="str">
        <f>IF(UNIT="SI-Unit","C-Degree","F-Degree")</f>
        <v>F-Degree</v>
      </c>
      <c r="K60" s="15"/>
      <c r="L60" s="15"/>
      <c r="M60" s="15"/>
      <c r="N60" s="15"/>
      <c r="O60" s="221" t="s">
        <v>170</v>
      </c>
      <c r="P60" s="146">
        <f>B60*P44</f>
        <v>48.840535159617318</v>
      </c>
      <c r="Q60" s="15" t="str">
        <f>IF(UNIT="SI-Unit","C-Degree","F-Degree")</f>
        <v>F-Degree</v>
      </c>
      <c r="R60" s="15"/>
      <c r="S60" s="15"/>
      <c r="T60" s="15"/>
      <c r="U60" s="131"/>
    </row>
    <row r="61" spans="1:21">
      <c r="A61" s="158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31"/>
    </row>
    <row r="62" spans="1:21">
      <c r="A62" s="216" t="s">
        <v>227</v>
      </c>
      <c r="B62" s="145"/>
      <c r="C62" s="145"/>
      <c r="D62" s="145"/>
      <c r="E62" s="145"/>
      <c r="F62" s="145"/>
      <c r="G62" s="15"/>
      <c r="H62" s="15"/>
      <c r="I62" s="15"/>
      <c r="J62" s="15"/>
      <c r="K62" s="15"/>
      <c r="L62" s="15"/>
      <c r="M62" s="15"/>
      <c r="N62" s="15"/>
      <c r="O62" s="15" t="s">
        <v>228</v>
      </c>
      <c r="P62" s="15"/>
      <c r="Q62" s="15"/>
      <c r="R62" s="15"/>
      <c r="S62" s="15"/>
      <c r="T62" s="15"/>
      <c r="U62" s="131"/>
    </row>
    <row r="63" spans="1:21" ht="13.5">
      <c r="A63" s="220" t="s">
        <v>165</v>
      </c>
      <c r="B63" s="146">
        <f>(DATAINPUTncnm!F33-DATAINPUTncnm!F97)*EXP(DATAINPUTncnm!A97/AFUEAncnm!B37)</f>
        <v>197.4111019428739</v>
      </c>
      <c r="C63" s="15" t="str">
        <f>IF(UNIT="SI-Unit","C-Degree","F-Degree")</f>
        <v>F-Degree</v>
      </c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21" t="s">
        <v>173</v>
      </c>
      <c r="P63" s="207">
        <f>IF(SYSTEMNUMBER&lt;9,P37*B63,P37*B67*B63)</f>
        <v>187.61587469082494</v>
      </c>
      <c r="Q63" s="15" t="str">
        <f>IF(UNIT="SI-Unit","C-Degree","F-Degree")</f>
        <v>F-Degree</v>
      </c>
      <c r="R63" s="15"/>
      <c r="S63" s="15"/>
      <c r="T63" s="15"/>
      <c r="U63" s="131"/>
    </row>
    <row r="64" spans="1:21" ht="12.75" thickBot="1">
      <c r="A64" s="158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31"/>
    </row>
    <row r="65" spans="1:25" ht="14.25" thickBot="1">
      <c r="A65" s="225" t="s">
        <v>233</v>
      </c>
      <c r="B65" s="226"/>
      <c r="C65" s="226"/>
      <c r="D65" s="226"/>
      <c r="E65" s="226"/>
      <c r="F65" s="226"/>
      <c r="G65" s="226"/>
      <c r="H65" s="226"/>
      <c r="I65" s="226"/>
      <c r="J65" s="226"/>
      <c r="K65" s="226"/>
      <c r="L65" s="226"/>
      <c r="M65" s="226"/>
      <c r="N65" s="226"/>
      <c r="O65" s="226"/>
      <c r="P65" s="226"/>
      <c r="Q65" s="226"/>
      <c r="R65" s="226"/>
      <c r="S65" s="226"/>
      <c r="T65" s="226"/>
      <c r="U65" s="227"/>
      <c r="V65" s="215"/>
      <c r="W65" s="215"/>
      <c r="X65" s="215"/>
      <c r="Y65" s="215"/>
    </row>
    <row r="66" spans="1:25">
      <c r="A66" s="158" t="s">
        <v>171</v>
      </c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31"/>
    </row>
    <row r="67" spans="1:25">
      <c r="A67" s="217" t="s">
        <v>172</v>
      </c>
      <c r="B67" s="130">
        <f>IF(SYSTEMNUMBER&lt;9,1,1+(IF(UNIT="SI-Unit",21.1,70)-P30)*L25/100/(DATAINPUTncnm!F33-DATAINPUTncnm!F58))</f>
        <v>1</v>
      </c>
      <c r="C67" s="15" t="s">
        <v>106</v>
      </c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31"/>
    </row>
    <row r="68" spans="1:25">
      <c r="A68" s="158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31"/>
    </row>
    <row r="69" spans="1:25">
      <c r="A69" s="158" t="s">
        <v>197</v>
      </c>
      <c r="B69" s="15"/>
      <c r="C69" s="15"/>
      <c r="D69" s="15"/>
      <c r="E69" s="15"/>
      <c r="F69" s="15"/>
      <c r="G69" s="15"/>
      <c r="H69" s="15" t="s">
        <v>198</v>
      </c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31"/>
    </row>
    <row r="70" spans="1:25" ht="13.5">
      <c r="A70" s="217" t="s">
        <v>229</v>
      </c>
      <c r="B70" s="207">
        <f>IF(SYSTEMNUMBER&lt;9,B25-(B34*P63/I37*(1-1/EXP(I37))),B67*B25-B34*P63/I37*(1-1/EXP(I37)))</f>
        <v>5.5353910868112477</v>
      </c>
      <c r="C70" s="15" t="s">
        <v>93</v>
      </c>
      <c r="D70" s="15"/>
      <c r="E70" s="15"/>
      <c r="F70" s="15"/>
      <c r="G70" s="15"/>
      <c r="H70" s="11" t="s">
        <v>230</v>
      </c>
      <c r="I70" s="207">
        <f>IF(SelectScenario!G58="NO", LSOFF(B41,I44,P54,P60,B57,I60,SYSTEMNUMBER,3.87,13.3),LSOFFTP(DATAINPUTncnm!F25,P22,DATAINPUTncnm!A86,DATAINPUTncnm!F33,DATAINPUTncnm!F58,DATAINPUTncnm!F87,DATAINPUTncnm!F86,B41,I44,P54,P60,B57,I60,P44,SYSTEMNUMBER,UNIT,3.87,13.3))</f>
        <v>7.9596163916834169E-5</v>
      </c>
      <c r="J70" s="15" t="s">
        <v>93</v>
      </c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31"/>
    </row>
    <row r="71" spans="1:25">
      <c r="A71" s="158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31"/>
    </row>
    <row r="72" spans="1:25">
      <c r="A72" s="158" t="s">
        <v>201</v>
      </c>
      <c r="B72" s="15"/>
      <c r="C72" s="15"/>
      <c r="D72" s="15"/>
      <c r="E72" s="15"/>
      <c r="F72" s="15"/>
      <c r="G72" s="15"/>
      <c r="H72" s="15" t="s">
        <v>202</v>
      </c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31"/>
    </row>
    <row r="73" spans="1:25" ht="13.5">
      <c r="A73" s="217" t="s">
        <v>232</v>
      </c>
      <c r="B73" s="208">
        <f>LION(I34,SYSTEMNUMBER,UNIT,P30)</f>
        <v>0.61776136951816363</v>
      </c>
      <c r="C73" s="15" t="s">
        <v>93</v>
      </c>
      <c r="D73" s="15"/>
      <c r="E73" s="15"/>
      <c r="F73" s="15"/>
      <c r="G73" s="15"/>
      <c r="H73" s="11" t="s">
        <v>231</v>
      </c>
      <c r="I73" s="250">
        <f>IF(SelectScenario!G58="NO",LIOFF(I41,I44,P54,P60,B57,I60,SYSTEMNUMBER,UNIT,P30,3.87,13.3),LIOFFTP(DATAINPUTncnm!F25,AFUEAncnm!P22,DATAINPUTncnm!A86,DATAINPUTncnm!F33,DATAINPUTncnm!F58,DATAINPUTncnm!F87,DATAINPUTncnm!F86,AFUEAncnm!I41,AFUEAncnm!I44,AFUEAncnm!P54,AFUEAncnm!P60,AFUEAncnm!B57,AFUEAncnm!I60,AFUEAncnm!P44,SYSTEMNUMBER,UNIT,P30,3.87,13.3))</f>
        <v>0.37334884433247795</v>
      </c>
      <c r="J73" s="15" t="s">
        <v>93</v>
      </c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31"/>
    </row>
    <row r="74" spans="1:25">
      <c r="A74" s="158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31"/>
    </row>
    <row r="75" spans="1:25">
      <c r="A75" s="158" t="s">
        <v>203</v>
      </c>
      <c r="B75" s="15"/>
      <c r="C75" s="15"/>
      <c r="D75" s="15"/>
      <c r="E75" s="15"/>
      <c r="F75" s="15"/>
      <c r="G75" s="15"/>
      <c r="H75" s="15" t="s">
        <v>205</v>
      </c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31"/>
    </row>
    <row r="76" spans="1:25" ht="13.5">
      <c r="A76" s="217" t="s">
        <v>204</v>
      </c>
      <c r="B76" s="186">
        <f>100-Others!E7-P25*(IF(SelectScenario!G10="YES",0,IF(SelectScenario!G11="YES",IF(SelectScenario!B27="Isolated",1.7,3.3),0)))-(3.87/(3.87+DATAINPUTncnm!F79/DATAINPUTncnm!F25*13.3))*(B70+I70+B73+I73)</f>
        <v>83.923419103174197</v>
      </c>
      <c r="C76" s="15" t="s">
        <v>93</v>
      </c>
      <c r="D76" s="15"/>
      <c r="E76" s="15"/>
      <c r="F76" s="15"/>
      <c r="G76" s="15"/>
      <c r="H76" s="11" t="s">
        <v>206</v>
      </c>
      <c r="I76" s="186">
        <f>IF(UNIT="SI-Unit",2889,5200)*B76*I25/(IF(UNIT="SI-Unit",2889,5200)*I25+2.5/(IF(UNIT="SI-Unit",1.8,1))*(1+I30)*4600*B76*DATAINPUTncnm!F79/DATAINPUTncnm!F25)</f>
        <v>83.923419103174197</v>
      </c>
      <c r="J76" s="15" t="s">
        <v>93</v>
      </c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223"/>
    </row>
    <row r="77" spans="1:25">
      <c r="A77" s="158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31"/>
    </row>
    <row r="78" spans="1:25" ht="12.75" thickBot="1">
      <c r="A78" s="161"/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4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55B1435-D11B-4670-916E-965D42284BF4}">
          <x14:formula1>
            <xm:f>SelectScenario!$AA$32:$AA$33</xm:f>
          </x14:formula1>
          <xm:sqref>R51:R52 B48 P46:P48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A5BA0-AE36-46B0-A7B1-470C86EF9A5E}">
  <sheetPr codeName="Sheet9">
    <tabColor rgb="FFFF0000"/>
  </sheetPr>
  <dimension ref="A1:AH168"/>
  <sheetViews>
    <sheetView topLeftCell="A42" zoomScale="80" zoomScaleNormal="80" workbookViewId="0">
      <selection activeCell="Z67" sqref="Z67"/>
    </sheetView>
  </sheetViews>
  <sheetFormatPr defaultRowHeight="15"/>
  <cols>
    <col min="1" max="1" width="10.85546875" customWidth="1"/>
    <col min="7" max="7" width="11.42578125" customWidth="1"/>
    <col min="14" max="14" width="10.7109375" customWidth="1"/>
    <col min="24" max="24" width="13.28515625" customWidth="1"/>
  </cols>
  <sheetData>
    <row r="1" spans="1:34">
      <c r="A1" s="211"/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3"/>
    </row>
    <row r="2" spans="1:34">
      <c r="A2" s="65"/>
      <c r="B2" s="2"/>
      <c r="C2" s="2"/>
      <c r="D2" s="2"/>
      <c r="E2" s="2"/>
      <c r="F2" s="4" t="str">
        <f>SelectScenario!F7</f>
        <v xml:space="preserve">Selected Unit: </v>
      </c>
      <c r="G2" s="67" t="str">
        <f>SelectScenario!G7</f>
        <v>Condensing, Step-ModulatingNG Furnace</v>
      </c>
      <c r="H2" s="2"/>
      <c r="I2" s="2"/>
      <c r="J2" s="2"/>
      <c r="K2" s="2"/>
      <c r="L2" s="67" t="s">
        <v>55</v>
      </c>
      <c r="M2" s="67"/>
      <c r="N2" s="79"/>
    </row>
    <row r="3" spans="1:34">
      <c r="A3" s="65"/>
      <c r="B3" s="2"/>
      <c r="C3" s="2"/>
      <c r="D3" s="2"/>
      <c r="E3" s="2"/>
      <c r="F3" s="11" t="str">
        <f>SelectScenario!F5</f>
        <v>Select NG Furnace System Scenario</v>
      </c>
      <c r="G3" s="69">
        <f>SelectScenario!G5</f>
        <v>3</v>
      </c>
      <c r="H3" s="67"/>
      <c r="I3" s="67"/>
      <c r="J3" s="67"/>
      <c r="K3" s="67"/>
      <c r="L3" s="11" t="str">
        <f>SelectScenario!F58</f>
        <v>Post Purge</v>
      </c>
      <c r="M3" s="69" t="str">
        <f>SelectScenario!G58</f>
        <v>NO</v>
      </c>
      <c r="N3" s="68"/>
      <c r="T3" s="57"/>
      <c r="U3" s="1"/>
      <c r="AH3" s="18"/>
    </row>
    <row r="4" spans="1:34">
      <c r="A4" s="65"/>
      <c r="B4" s="2"/>
      <c r="C4" s="2"/>
      <c r="D4" s="2"/>
      <c r="E4" s="2"/>
      <c r="F4" s="11" t="str">
        <f>SelectScenario!F10</f>
        <v>Indoor Combustion Air</v>
      </c>
      <c r="G4" s="69" t="str">
        <f>SelectScenario!G10</f>
        <v>YES</v>
      </c>
      <c r="H4" s="69"/>
      <c r="I4" s="69"/>
      <c r="J4" s="69"/>
      <c r="K4" s="69"/>
      <c r="L4" s="11" t="str">
        <f>SelectScenario!F59</f>
        <v>Pilot Light</v>
      </c>
      <c r="M4" s="69" t="str">
        <f>SelectScenario!G59</f>
        <v>NO</v>
      </c>
      <c r="N4" s="70"/>
      <c r="T4" s="57"/>
      <c r="U4" s="1"/>
      <c r="AH4" s="18"/>
    </row>
    <row r="5" spans="1:34">
      <c r="A5" s="65"/>
      <c r="B5" s="2"/>
      <c r="C5" s="2"/>
      <c r="D5" s="2"/>
      <c r="E5" s="2"/>
      <c r="F5" s="11" t="str">
        <f>SelectScenario!F11</f>
        <v>Outdoor, Direct Vent or isolated Combustion System</v>
      </c>
      <c r="G5" s="69" t="str">
        <f>SelectScenario!G11</f>
        <v>NO</v>
      </c>
      <c r="H5" s="69"/>
      <c r="I5" s="69"/>
      <c r="J5" s="69"/>
      <c r="K5" s="69"/>
      <c r="L5" s="11" t="str">
        <f>SelectScenario!F60</f>
        <v>Unit</v>
      </c>
      <c r="M5" s="138" t="str">
        <f>SelectScenario!G60</f>
        <v>British-Unit</v>
      </c>
      <c r="N5" s="70"/>
      <c r="R5" s="5"/>
      <c r="T5" s="58"/>
      <c r="U5" s="59"/>
      <c r="V5" s="5"/>
      <c r="W5" s="5"/>
      <c r="X5" s="5"/>
      <c r="AH5" s="18"/>
    </row>
    <row r="6" spans="1:34">
      <c r="A6" s="65"/>
      <c r="B6" s="2"/>
      <c r="C6" s="2"/>
      <c r="D6" s="2"/>
      <c r="E6" s="2"/>
      <c r="F6" s="11" t="str">
        <f>SelectScenario!F12</f>
        <v>Direct Exhaust</v>
      </c>
      <c r="G6" s="69" t="str">
        <f>SelectScenario!G12</f>
        <v>NO</v>
      </c>
      <c r="H6" s="69"/>
      <c r="I6" s="69"/>
      <c r="J6" s="69"/>
      <c r="K6" s="69"/>
      <c r="L6" s="69"/>
      <c r="M6" s="69"/>
      <c r="N6" s="70"/>
      <c r="T6" s="57"/>
      <c r="U6" s="1"/>
      <c r="AH6" s="18"/>
    </row>
    <row r="7" spans="1:34">
      <c r="A7" s="65"/>
      <c r="B7" s="2"/>
      <c r="C7" s="2"/>
      <c r="D7" s="2"/>
      <c r="E7" s="2"/>
      <c r="F7" s="11" t="str">
        <f>SelectScenario!F13</f>
        <v>Draft Hood or Draft Diverter</v>
      </c>
      <c r="G7" s="69" t="str">
        <f>SelectScenario!G13</f>
        <v>YES</v>
      </c>
      <c r="H7" s="69"/>
      <c r="I7" s="69"/>
      <c r="J7" s="69"/>
      <c r="K7" s="69"/>
      <c r="L7" s="69"/>
      <c r="M7" s="69"/>
      <c r="N7" s="70"/>
      <c r="T7" s="57"/>
      <c r="U7" s="1"/>
      <c r="AH7" s="18"/>
    </row>
    <row r="8" spans="1:34">
      <c r="A8" s="65"/>
      <c r="B8" s="2"/>
      <c r="C8" s="2"/>
      <c r="D8" s="2"/>
      <c r="E8" s="2"/>
      <c r="F8" s="11" t="str">
        <f>SelectScenario!F14</f>
        <v>Barometric Draft</v>
      </c>
      <c r="G8" s="69" t="str">
        <f>SelectScenario!G14</f>
        <v>NO</v>
      </c>
      <c r="H8" s="69"/>
      <c r="I8" s="69"/>
      <c r="J8" s="69"/>
      <c r="K8" s="69"/>
      <c r="L8" s="69"/>
      <c r="M8" s="69"/>
      <c r="N8" s="70"/>
      <c r="T8" s="57"/>
      <c r="U8" s="1"/>
      <c r="AH8" s="18"/>
    </row>
    <row r="9" spans="1:34">
      <c r="A9" s="65"/>
      <c r="B9" s="2"/>
      <c r="C9" s="2"/>
      <c r="D9" s="2"/>
      <c r="E9" s="2"/>
      <c r="F9" s="11" t="str">
        <f>SelectScenario!F15</f>
        <v>Electrical/Mechanical Stack Damper</v>
      </c>
      <c r="G9" s="69" t="str">
        <f>SelectScenario!G15</f>
        <v>NO</v>
      </c>
      <c r="H9" s="69"/>
      <c r="I9" s="69"/>
      <c r="J9" s="69"/>
      <c r="K9" s="69"/>
      <c r="L9" s="69"/>
      <c r="M9" s="69"/>
      <c r="N9" s="70"/>
      <c r="T9" s="57"/>
      <c r="U9" s="1"/>
      <c r="AH9" s="18"/>
    </row>
    <row r="10" spans="1:34">
      <c r="A10" s="65"/>
      <c r="B10" s="2"/>
      <c r="C10" s="2"/>
      <c r="D10" s="2"/>
      <c r="E10" s="2"/>
      <c r="F10" s="11" t="str">
        <f>SelectScenario!F16</f>
        <v>Atomspheric Burner</v>
      </c>
      <c r="G10" s="69" t="str">
        <f>SelectScenario!G16</f>
        <v>NO</v>
      </c>
      <c r="H10" s="69"/>
      <c r="I10" s="69"/>
      <c r="J10" s="69"/>
      <c r="K10" s="69"/>
      <c r="L10" s="69"/>
      <c r="M10" s="69"/>
      <c r="N10" s="70"/>
      <c r="T10" s="57"/>
      <c r="U10" s="1"/>
      <c r="AH10" s="18"/>
    </row>
    <row r="11" spans="1:34">
      <c r="A11" s="65"/>
      <c r="B11" s="2"/>
      <c r="C11" s="2"/>
      <c r="D11" s="2"/>
      <c r="E11" s="2"/>
      <c r="F11" s="11" t="str">
        <f>SelectScenario!F17</f>
        <v>Power Burner</v>
      </c>
      <c r="G11" s="69" t="str">
        <f>SelectScenario!G17</f>
        <v>YES</v>
      </c>
      <c r="H11" s="69"/>
      <c r="I11" s="69"/>
      <c r="J11" s="69"/>
      <c r="K11" s="69"/>
      <c r="L11" s="69"/>
      <c r="M11" s="69"/>
      <c r="N11" s="70"/>
      <c r="T11" s="57"/>
      <c r="AH11" s="18"/>
    </row>
    <row r="12" spans="1:34">
      <c r="A12" s="65"/>
      <c r="B12" s="2"/>
      <c r="C12" s="2"/>
      <c r="D12" s="2"/>
      <c r="E12" s="2"/>
      <c r="F12" s="11" t="str">
        <f>SelectScenario!F18</f>
        <v>Burner Inlet Damper or Flue Damper</v>
      </c>
      <c r="G12" s="69" t="str">
        <f>SelectScenario!G18</f>
        <v>NO</v>
      </c>
      <c r="H12" s="69"/>
      <c r="I12" s="69"/>
      <c r="J12" s="69"/>
      <c r="K12" s="69"/>
      <c r="L12" s="69"/>
      <c r="M12" s="69"/>
      <c r="N12" s="70"/>
      <c r="AH12" s="18"/>
    </row>
    <row r="13" spans="1:34" ht="15.75" thickBot="1">
      <c r="A13" s="71"/>
      <c r="B13" s="72"/>
      <c r="C13" s="73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4"/>
      <c r="AH13" s="18"/>
    </row>
    <row r="14" spans="1:34" ht="15.75" thickBot="1">
      <c r="A14" s="2"/>
      <c r="B14" s="2"/>
      <c r="C14" s="8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Q14" s="55"/>
      <c r="AH14" s="18"/>
    </row>
    <row r="15" spans="1:34" ht="14.25" customHeight="1" thickBot="1">
      <c r="A15" s="90" t="s">
        <v>47</v>
      </c>
      <c r="B15" s="91"/>
      <c r="C15" s="91"/>
      <c r="D15" s="91"/>
      <c r="E15" s="91"/>
      <c r="F15" s="91"/>
      <c r="G15" s="91"/>
      <c r="H15" s="325"/>
      <c r="I15" s="325"/>
      <c r="J15" s="325"/>
      <c r="K15" s="325"/>
      <c r="L15" s="325"/>
      <c r="M15" s="325"/>
      <c r="N15" s="326"/>
      <c r="Q15" s="55"/>
      <c r="R15" s="17"/>
      <c r="S15" s="17"/>
      <c r="T15" s="17"/>
      <c r="AH15" s="18"/>
    </row>
    <row r="16" spans="1:34" ht="15.75">
      <c r="A16" s="65"/>
      <c r="B16" s="2"/>
      <c r="C16" s="8"/>
      <c r="D16" s="2"/>
      <c r="E16" s="2"/>
      <c r="F16" s="87" t="s">
        <v>51</v>
      </c>
      <c r="G16" s="2"/>
      <c r="H16" s="318"/>
      <c r="I16" s="318"/>
      <c r="J16" s="318"/>
      <c r="K16" s="318"/>
      <c r="L16" s="318"/>
      <c r="M16" s="319" t="s">
        <v>50</v>
      </c>
      <c r="N16" s="327"/>
      <c r="Q16" s="6"/>
      <c r="AH16" s="18"/>
    </row>
    <row r="17" spans="1:34">
      <c r="A17" s="65"/>
      <c r="B17" s="2"/>
      <c r="C17" s="8"/>
      <c r="D17" s="2"/>
      <c r="E17" s="2"/>
      <c r="F17" s="88" t="str">
        <f>IF(SelectScenario!$G$6="Non-Modulating","(The maximum parameters are required@"&amp;SelectScenario!$G$6&amp;")","The maximum parameters are required@"&amp;SelectScenario!$G$6&amp;")")</f>
        <v>The maximum parameters are required@Step-Modulating)</v>
      </c>
      <c r="G17" s="2"/>
      <c r="H17" s="318"/>
      <c r="I17" s="318"/>
      <c r="J17" s="318"/>
      <c r="K17" s="318"/>
      <c r="L17" s="318"/>
      <c r="M17" s="320" t="str">
        <f>IF(SelectScenario!$G$6="Non-Modulating","(The redcued parameters are not required@"&amp;SelectScenario!$G$6&amp;")","(The redcued parameters are required@"&amp;SelectScenario!$G$6&amp;")")</f>
        <v>(The redcued parameters are required@Step-Modulating)</v>
      </c>
      <c r="N17" s="327"/>
      <c r="Q17" s="6"/>
      <c r="R17" s="17"/>
      <c r="S17" s="17"/>
      <c r="T17" s="17"/>
      <c r="AH17" s="18"/>
    </row>
    <row r="18" spans="1:34" ht="15.75">
      <c r="A18" s="65"/>
      <c r="B18" s="2"/>
      <c r="C18" s="8"/>
      <c r="D18" s="2"/>
      <c r="E18" s="2"/>
      <c r="F18" s="87"/>
      <c r="G18" s="2"/>
      <c r="H18" s="318"/>
      <c r="I18" s="318"/>
      <c r="J18" s="318"/>
      <c r="K18" s="318"/>
      <c r="L18" s="318"/>
      <c r="M18" s="320"/>
      <c r="N18" s="327"/>
      <c r="T18" s="6"/>
      <c r="AH18" s="18"/>
    </row>
    <row r="19" spans="1:34">
      <c r="A19" s="65"/>
      <c r="B19" s="2"/>
      <c r="C19" s="8"/>
      <c r="D19" s="2"/>
      <c r="E19" s="2"/>
      <c r="F19" s="77" t="s">
        <v>39</v>
      </c>
      <c r="G19" s="2"/>
      <c r="H19" s="318"/>
      <c r="I19" s="318"/>
      <c r="J19" s="318"/>
      <c r="K19" s="318"/>
      <c r="L19" s="318"/>
      <c r="M19" s="321" t="s">
        <v>40</v>
      </c>
      <c r="N19" s="328"/>
      <c r="O19" s="1"/>
      <c r="T19" s="6"/>
      <c r="AH19" s="18"/>
    </row>
    <row r="20" spans="1:34">
      <c r="A20" s="65"/>
      <c r="B20" s="2"/>
      <c r="C20" s="8"/>
      <c r="D20" s="2"/>
      <c r="E20" s="11" t="s">
        <v>16</v>
      </c>
      <c r="F20" s="14">
        <v>1.353</v>
      </c>
      <c r="G20" s="15"/>
      <c r="H20" s="318"/>
      <c r="I20" s="318"/>
      <c r="J20" s="318"/>
      <c r="K20" s="318"/>
      <c r="L20" s="322" t="s">
        <v>16</v>
      </c>
      <c r="M20" s="323">
        <v>0</v>
      </c>
      <c r="N20" s="329"/>
      <c r="O20" s="1"/>
      <c r="AH20" s="18"/>
    </row>
    <row r="21" spans="1:34">
      <c r="A21" s="65"/>
      <c r="B21" s="2"/>
      <c r="C21" s="8"/>
      <c r="D21" s="2"/>
      <c r="E21" s="11" t="s">
        <v>15</v>
      </c>
      <c r="F21" s="61">
        <f>F20</f>
        <v>1.353</v>
      </c>
      <c r="G21" s="15" t="str">
        <f>IF(UNIT="SI-Unit","Liter/s","CFM")</f>
        <v>CFM</v>
      </c>
      <c r="H21" s="318"/>
      <c r="I21" s="318"/>
      <c r="J21" s="318"/>
      <c r="K21" s="318"/>
      <c r="L21" s="322" t="s">
        <v>15</v>
      </c>
      <c r="M21" s="324">
        <f>IF(SelectScenario!$G$6="Non-Modulating",0,M20)</f>
        <v>0</v>
      </c>
      <c r="N21" s="330" t="str">
        <f>IF(UNIT="SI-Unit","Liter/s","CFM")</f>
        <v>CFM</v>
      </c>
      <c r="O21" s="1"/>
      <c r="AH21" s="18"/>
    </row>
    <row r="22" spans="1:34">
      <c r="A22" s="65"/>
      <c r="B22" s="2"/>
      <c r="C22" s="8"/>
      <c r="D22" s="2"/>
      <c r="E22" s="2"/>
      <c r="F22" s="81"/>
      <c r="G22" s="15"/>
      <c r="H22" s="318"/>
      <c r="I22" s="318"/>
      <c r="J22" s="318"/>
      <c r="K22" s="318"/>
      <c r="L22" s="318"/>
      <c r="M22" s="318"/>
      <c r="N22" s="330"/>
      <c r="O22" s="1"/>
      <c r="AH22" s="18"/>
    </row>
    <row r="23" spans="1:34">
      <c r="A23" s="65"/>
      <c r="B23" s="2"/>
      <c r="C23" s="8"/>
      <c r="D23" s="2"/>
      <c r="E23" s="2"/>
      <c r="F23" s="77" t="s">
        <v>34</v>
      </c>
      <c r="G23" s="15"/>
      <c r="H23" s="318"/>
      <c r="I23" s="318"/>
      <c r="J23" s="318"/>
      <c r="K23" s="318"/>
      <c r="L23" s="318"/>
      <c r="M23" s="321" t="s">
        <v>361</v>
      </c>
      <c r="N23" s="331"/>
      <c r="O23" s="1"/>
      <c r="AH23" s="18"/>
    </row>
    <row r="24" spans="1:34">
      <c r="A24" s="65"/>
      <c r="B24" s="2"/>
      <c r="C24" s="82"/>
      <c r="D24" s="82"/>
      <c r="E24" s="11" t="s">
        <v>16</v>
      </c>
      <c r="F24" s="14">
        <v>83264</v>
      </c>
      <c r="G24" s="15"/>
      <c r="H24" s="318"/>
      <c r="I24" s="318"/>
      <c r="J24" s="318"/>
      <c r="K24" s="318"/>
      <c r="L24" s="322" t="s">
        <v>16</v>
      </c>
      <c r="M24" s="323">
        <v>0</v>
      </c>
      <c r="N24" s="329"/>
      <c r="O24" s="59"/>
      <c r="P24" s="5"/>
      <c r="Q24" s="5"/>
      <c r="R24" s="5"/>
      <c r="S24" s="5"/>
      <c r="AH24" s="18"/>
    </row>
    <row r="25" spans="1:34">
      <c r="A25" s="65"/>
      <c r="B25" s="2"/>
      <c r="C25" s="82"/>
      <c r="D25" s="82"/>
      <c r="E25" s="11" t="s">
        <v>15</v>
      </c>
      <c r="F25" s="61">
        <f>F24</f>
        <v>83264</v>
      </c>
      <c r="G25" s="15" t="str">
        <f>IF(UNIT="SI-Unit","kW","BTU/HR")</f>
        <v>BTU/HR</v>
      </c>
      <c r="H25" s="318"/>
      <c r="I25" s="318"/>
      <c r="J25" s="318"/>
      <c r="K25" s="318"/>
      <c r="L25" s="322" t="s">
        <v>15</v>
      </c>
      <c r="M25" s="324">
        <f>IF(SelectScenario!$G$6="Non-Modulating",0,M24)</f>
        <v>0</v>
      </c>
      <c r="N25" s="330" t="str">
        <f>IF(UNIT="SI-Unit","kW","BTU/HR")</f>
        <v>BTU/HR</v>
      </c>
      <c r="O25" s="59"/>
      <c r="P25" s="5"/>
      <c r="Q25" s="5"/>
      <c r="R25" s="5"/>
      <c r="S25" s="5"/>
      <c r="AH25" s="18"/>
    </row>
    <row r="26" spans="1:34">
      <c r="A26" s="65"/>
      <c r="B26" s="2"/>
      <c r="C26" s="82"/>
      <c r="D26" s="82"/>
      <c r="E26" s="11"/>
      <c r="F26" s="60"/>
      <c r="G26" s="15"/>
      <c r="H26" s="318"/>
      <c r="I26" s="318"/>
      <c r="J26" s="318"/>
      <c r="K26" s="318"/>
      <c r="L26" s="318"/>
      <c r="M26" s="318"/>
      <c r="N26" s="330"/>
      <c r="O26" s="59"/>
      <c r="P26" s="5"/>
      <c r="Q26" s="5"/>
      <c r="R26" s="5"/>
      <c r="S26" s="5"/>
      <c r="AH26" s="18"/>
    </row>
    <row r="27" spans="1:34">
      <c r="A27" s="65"/>
      <c r="B27" s="2"/>
      <c r="C27" s="2"/>
      <c r="D27" s="2"/>
      <c r="E27" s="2"/>
      <c r="F27" s="77" t="s">
        <v>41</v>
      </c>
      <c r="G27" s="15"/>
      <c r="H27" s="82"/>
      <c r="I27" s="82"/>
      <c r="J27" s="82"/>
      <c r="K27" s="82"/>
      <c r="L27" s="318"/>
      <c r="M27" s="321" t="s">
        <v>38</v>
      </c>
      <c r="N27" s="331"/>
      <c r="O27" s="1"/>
      <c r="AH27" s="18"/>
    </row>
    <row r="28" spans="1:34">
      <c r="A28" s="65"/>
      <c r="B28" s="2"/>
      <c r="C28" s="2"/>
      <c r="D28" s="2"/>
      <c r="E28" s="11" t="s">
        <v>16</v>
      </c>
      <c r="F28" s="14">
        <v>2818</v>
      </c>
      <c r="G28" s="15"/>
      <c r="H28" s="82"/>
      <c r="I28" s="82"/>
      <c r="J28" s="82"/>
      <c r="K28" s="82"/>
      <c r="L28" s="322" t="s">
        <v>16</v>
      </c>
      <c r="M28" s="323">
        <v>0</v>
      </c>
      <c r="N28" s="329"/>
      <c r="O28" s="1"/>
      <c r="AH28" s="18"/>
    </row>
    <row r="29" spans="1:34">
      <c r="A29" s="65"/>
      <c r="B29" s="2"/>
      <c r="C29" s="2"/>
      <c r="D29" s="2"/>
      <c r="E29" s="11" t="s">
        <v>15</v>
      </c>
      <c r="F29" s="61">
        <f>F28</f>
        <v>2818</v>
      </c>
      <c r="G29" s="15" t="str">
        <f>IF(UNIT="SI-Unit","kW","BTU/HR")</f>
        <v>BTU/HR</v>
      </c>
      <c r="H29" s="82"/>
      <c r="I29" s="82"/>
      <c r="J29" s="82"/>
      <c r="K29" s="82"/>
      <c r="L29" s="322" t="s">
        <v>15</v>
      </c>
      <c r="M29" s="324">
        <f>IF(SelectScenario!$G$6="Non-Modulating",0,M28)</f>
        <v>0</v>
      </c>
      <c r="N29" s="330" t="str">
        <f>IF(UNIT="SI-Unit","kW","BTU/HR")</f>
        <v>BTU/HR</v>
      </c>
      <c r="O29" s="1"/>
      <c r="AH29" s="18"/>
    </row>
    <row r="30" spans="1:34">
      <c r="A30" s="65"/>
      <c r="B30" s="2"/>
      <c r="C30" s="2"/>
      <c r="D30" s="2"/>
      <c r="E30" s="2"/>
      <c r="F30" s="81"/>
      <c r="G30" s="15"/>
      <c r="H30" s="82"/>
      <c r="I30" s="82"/>
      <c r="J30" s="82"/>
      <c r="K30" s="82"/>
      <c r="L30" s="318"/>
      <c r="M30" s="318"/>
      <c r="N30" s="330"/>
      <c r="O30" s="1"/>
      <c r="AH30" s="18"/>
    </row>
    <row r="31" spans="1:34">
      <c r="A31" s="65"/>
      <c r="B31" s="2"/>
      <c r="C31" s="2"/>
      <c r="D31" s="2"/>
      <c r="E31" s="2"/>
      <c r="F31" s="77" t="s">
        <v>42</v>
      </c>
      <c r="G31" s="15" t="s">
        <v>399</v>
      </c>
      <c r="H31" s="82"/>
      <c r="I31" s="82"/>
      <c r="J31" s="82"/>
      <c r="K31" s="82"/>
      <c r="L31" s="318"/>
      <c r="M31" s="321" t="s">
        <v>362</v>
      </c>
      <c r="N31" s="331"/>
      <c r="O31" s="1"/>
      <c r="AH31" s="18"/>
    </row>
    <row r="32" spans="1:34">
      <c r="A32" s="65"/>
      <c r="B32" s="2"/>
      <c r="C32" s="2"/>
      <c r="D32" s="2"/>
      <c r="E32" s="11" t="s">
        <v>16</v>
      </c>
      <c r="F32" s="14">
        <v>94.85</v>
      </c>
      <c r="G32" s="15"/>
      <c r="H32" s="82"/>
      <c r="I32" s="82"/>
      <c r="J32" s="82"/>
      <c r="K32" s="82"/>
      <c r="L32" s="322" t="s">
        <v>16</v>
      </c>
      <c r="M32" s="323">
        <v>300</v>
      </c>
      <c r="N32" s="329"/>
      <c r="O32" s="1"/>
      <c r="AH32" s="18"/>
    </row>
    <row r="33" spans="1:34">
      <c r="A33" s="65"/>
      <c r="B33" s="2"/>
      <c r="C33" s="2"/>
      <c r="D33" s="2"/>
      <c r="E33" s="11" t="s">
        <v>15</v>
      </c>
      <c r="F33" s="61">
        <f>F32</f>
        <v>94.85</v>
      </c>
      <c r="G33" s="15" t="str">
        <f>IF(UNIT="SI-Unit","C-Degree","F-Degree")</f>
        <v>F-Degree</v>
      </c>
      <c r="H33" s="82"/>
      <c r="I33" s="82"/>
      <c r="J33" s="82"/>
      <c r="K33" s="82"/>
      <c r="L33" s="322" t="s">
        <v>15</v>
      </c>
      <c r="M33" s="324">
        <f>IF(SelectScenario!$G$6="Non-Modulating",0,M32)</f>
        <v>300</v>
      </c>
      <c r="N33" s="330" t="str">
        <f>IF(UNIT="SI-Unit","C-Degree","F-Degree")</f>
        <v>F-Degree</v>
      </c>
    </row>
    <row r="34" spans="1:34">
      <c r="A34" s="65"/>
      <c r="B34" s="2"/>
      <c r="C34" s="2"/>
      <c r="D34" s="2"/>
      <c r="E34" s="11"/>
      <c r="F34" s="60"/>
      <c r="G34" s="15"/>
      <c r="H34" s="82"/>
      <c r="I34" s="82"/>
      <c r="J34" s="82"/>
      <c r="K34" s="82"/>
      <c r="L34" s="318"/>
      <c r="M34" s="318"/>
      <c r="N34" s="330"/>
    </row>
    <row r="35" spans="1:34">
      <c r="A35" s="65"/>
      <c r="B35" s="2"/>
      <c r="C35" s="2"/>
      <c r="D35" s="2"/>
      <c r="E35" s="2"/>
      <c r="F35" s="77" t="s">
        <v>400</v>
      </c>
      <c r="G35" s="15" t="s">
        <v>398</v>
      </c>
      <c r="H35" s="82"/>
      <c r="I35" s="82"/>
      <c r="J35" s="82"/>
      <c r="K35" s="82"/>
      <c r="L35" s="318"/>
      <c r="M35" s="321" t="s">
        <v>363</v>
      </c>
      <c r="N35" s="330"/>
    </row>
    <row r="36" spans="1:34">
      <c r="A36" s="65"/>
      <c r="B36" s="2"/>
      <c r="C36" s="2"/>
      <c r="D36" s="2"/>
      <c r="E36" s="11" t="s">
        <v>16</v>
      </c>
      <c r="F36" s="14">
        <v>93.51</v>
      </c>
      <c r="G36" s="15"/>
      <c r="H36" s="318"/>
      <c r="I36" s="318"/>
      <c r="J36" s="318"/>
      <c r="K36" s="318"/>
      <c r="L36" s="322" t="s">
        <v>16</v>
      </c>
      <c r="M36" s="323">
        <v>300</v>
      </c>
      <c r="N36" s="330"/>
    </row>
    <row r="37" spans="1:34">
      <c r="A37" s="65"/>
      <c r="B37" s="2"/>
      <c r="C37" s="2"/>
      <c r="D37" s="2"/>
      <c r="E37" s="11" t="s">
        <v>15</v>
      </c>
      <c r="F37" s="61">
        <f>F36</f>
        <v>93.51</v>
      </c>
      <c r="G37" s="15" t="str">
        <f>IF(UNIT="SI-Unit","C-Degree","F-Degree")</f>
        <v>F-Degree</v>
      </c>
      <c r="H37" s="318"/>
      <c r="I37" s="318"/>
      <c r="J37" s="318"/>
      <c r="K37" s="318"/>
      <c r="L37" s="322" t="s">
        <v>15</v>
      </c>
      <c r="M37" s="324">
        <f>IF(SelectScenario!$G$6="Non-Modulating",0,M36)</f>
        <v>300</v>
      </c>
      <c r="N37" s="330" t="str">
        <f>IF(UNIT="SI-Unit","C-Degree","F-Degree")</f>
        <v>F-Degree</v>
      </c>
    </row>
    <row r="38" spans="1:34">
      <c r="A38" s="65"/>
      <c r="B38" s="2"/>
      <c r="C38" s="2"/>
      <c r="D38" s="2"/>
      <c r="E38" s="11"/>
      <c r="F38" s="60"/>
      <c r="G38" s="15"/>
      <c r="H38" s="318"/>
      <c r="I38" s="318"/>
      <c r="J38" s="318"/>
      <c r="K38" s="318"/>
      <c r="L38" s="318"/>
      <c r="M38" s="318"/>
      <c r="N38" s="330"/>
      <c r="P38" s="292"/>
      <c r="Q38" s="292"/>
      <c r="R38" s="292"/>
      <c r="S38" s="292"/>
      <c r="T38" s="292"/>
      <c r="U38" s="292"/>
      <c r="V38" s="292"/>
      <c r="W38" s="313"/>
      <c r="X38" s="313" t="s">
        <v>319</v>
      </c>
    </row>
    <row r="39" spans="1:34">
      <c r="A39" s="65"/>
      <c r="B39" s="2"/>
      <c r="C39" s="2"/>
      <c r="D39" s="2"/>
      <c r="E39" s="11"/>
      <c r="F39" s="77" t="s">
        <v>48</v>
      </c>
      <c r="G39" s="15"/>
      <c r="H39" s="318"/>
      <c r="I39" s="318"/>
      <c r="J39" s="318"/>
      <c r="K39" s="318"/>
      <c r="L39" s="318"/>
      <c r="M39" s="321" t="s">
        <v>364</v>
      </c>
      <c r="N39" s="331"/>
      <c r="P39" s="292"/>
      <c r="Q39" s="292"/>
      <c r="R39" s="292"/>
      <c r="S39" s="292"/>
      <c r="T39" s="292"/>
      <c r="U39" s="292"/>
      <c r="V39" s="292"/>
      <c r="W39" s="303" t="s">
        <v>145</v>
      </c>
      <c r="X39" s="292"/>
    </row>
    <row r="40" spans="1:34">
      <c r="A40" s="65"/>
      <c r="B40" s="2"/>
      <c r="C40" s="2"/>
      <c r="D40" s="2"/>
      <c r="E40" s="11" t="s">
        <v>16</v>
      </c>
      <c r="F40" s="14">
        <v>8.8000000000000007</v>
      </c>
      <c r="G40" s="15"/>
      <c r="H40" s="318"/>
      <c r="I40" s="318"/>
      <c r="J40" s="318"/>
      <c r="K40" s="318"/>
      <c r="L40" s="322" t="s">
        <v>16</v>
      </c>
      <c r="M40" s="323">
        <v>0</v>
      </c>
      <c r="N40" s="329"/>
      <c r="P40" s="292"/>
      <c r="Q40" s="292"/>
      <c r="R40" s="292"/>
      <c r="S40" s="292"/>
      <c r="T40" s="292"/>
      <c r="U40" s="292"/>
      <c r="V40" s="292"/>
      <c r="W40" s="293" t="str">
        <f>IF(OR(SYSTEMNUMBER=5,SYSTEMNUMBER=6,SYSTEMNUMBER=8),"(The stack parameters are required for the system "&amp;SYSTEMNUMBER&amp;")","(The stack parameters are not required)")</f>
        <v>(The stack parameters are not required)</v>
      </c>
      <c r="X40" s="292"/>
    </row>
    <row r="41" spans="1:34">
      <c r="A41" s="65"/>
      <c r="B41" s="2"/>
      <c r="C41" s="2"/>
      <c r="D41" s="2"/>
      <c r="E41" s="11" t="s">
        <v>15</v>
      </c>
      <c r="F41" s="61">
        <f>F40</f>
        <v>8.8000000000000007</v>
      </c>
      <c r="G41" s="15" t="s">
        <v>93</v>
      </c>
      <c r="H41" s="318"/>
      <c r="I41" s="318"/>
      <c r="J41" s="318"/>
      <c r="K41" s="318"/>
      <c r="L41" s="322" t="s">
        <v>15</v>
      </c>
      <c r="M41" s="324">
        <f>IF(SelectScenario!$G$6="Non-Modulating",0,M40)</f>
        <v>0</v>
      </c>
      <c r="N41" s="332" t="s">
        <v>93</v>
      </c>
      <c r="O41" s="1"/>
      <c r="P41" s="292"/>
      <c r="Q41" s="292"/>
      <c r="R41" s="292"/>
      <c r="S41" s="292"/>
      <c r="T41" s="292"/>
      <c r="U41" s="292"/>
      <c r="V41" s="292"/>
      <c r="W41" s="292"/>
      <c r="X41" s="292"/>
      <c r="AH41" s="18"/>
    </row>
    <row r="42" spans="1:34">
      <c r="A42" s="65"/>
      <c r="B42" s="2"/>
      <c r="C42" s="2"/>
      <c r="D42" s="2"/>
      <c r="E42" s="11"/>
      <c r="F42" s="60"/>
      <c r="G42" s="15"/>
      <c r="H42" s="318"/>
      <c r="I42" s="318"/>
      <c r="J42" s="318"/>
      <c r="K42" s="318"/>
      <c r="L42" s="322"/>
      <c r="M42" s="324"/>
      <c r="N42" s="332"/>
      <c r="O42" s="1"/>
      <c r="P42" s="292"/>
      <c r="Q42" s="299"/>
      <c r="R42" s="295" t="s">
        <v>192</v>
      </c>
      <c r="S42" s="292"/>
      <c r="T42" s="292"/>
      <c r="U42" s="292"/>
      <c r="V42" s="292"/>
      <c r="W42" s="295" t="s">
        <v>131</v>
      </c>
      <c r="X42" s="299"/>
      <c r="AH42" s="18"/>
    </row>
    <row r="43" spans="1:34">
      <c r="A43" s="65"/>
      <c r="B43" s="2"/>
      <c r="C43" s="2"/>
      <c r="D43" s="2"/>
      <c r="E43" s="11"/>
      <c r="F43" s="77" t="s">
        <v>64</v>
      </c>
      <c r="G43" s="15"/>
      <c r="H43" s="318"/>
      <c r="I43" s="318"/>
      <c r="J43" s="318"/>
      <c r="K43" s="318"/>
      <c r="L43" s="318"/>
      <c r="M43" s="321" t="s">
        <v>365</v>
      </c>
      <c r="N43" s="333"/>
      <c r="P43" s="292"/>
      <c r="Q43" s="295" t="s">
        <v>190</v>
      </c>
      <c r="R43" s="299">
        <v>1</v>
      </c>
      <c r="S43" s="292" t="s">
        <v>117</v>
      </c>
      <c r="T43" s="292"/>
      <c r="U43" s="292"/>
      <c r="V43" s="303" t="s">
        <v>132</v>
      </c>
      <c r="W43" s="299">
        <v>36</v>
      </c>
      <c r="X43" s="299" t="str">
        <f>IF(UNIT="SI-Unit","cm2","in2")</f>
        <v>in2</v>
      </c>
    </row>
    <row r="44" spans="1:34">
      <c r="A44" s="65"/>
      <c r="B44" s="2"/>
      <c r="C44" s="2"/>
      <c r="D44" s="2"/>
      <c r="E44" s="11" t="s">
        <v>16</v>
      </c>
      <c r="F44" s="14">
        <v>8.8000000000000007</v>
      </c>
      <c r="G44" s="15"/>
      <c r="H44" s="318"/>
      <c r="I44" s="318"/>
      <c r="J44" s="318"/>
      <c r="K44" s="318"/>
      <c r="L44" s="322" t="s">
        <v>16</v>
      </c>
      <c r="M44" s="323">
        <v>0</v>
      </c>
      <c r="N44" s="333"/>
      <c r="P44" s="292"/>
      <c r="Q44" s="299"/>
      <c r="R44" s="299"/>
      <c r="S44" s="292"/>
      <c r="T44" s="292"/>
      <c r="U44" s="292"/>
      <c r="V44" s="292"/>
      <c r="W44" s="299"/>
      <c r="X44" s="299"/>
    </row>
    <row r="45" spans="1:34">
      <c r="A45" s="65"/>
      <c r="B45" s="2"/>
      <c r="C45" s="2"/>
      <c r="D45" s="2"/>
      <c r="E45" s="11" t="s">
        <v>15</v>
      </c>
      <c r="F45" s="61">
        <f>F44</f>
        <v>8.8000000000000007</v>
      </c>
      <c r="G45" s="15" t="s">
        <v>93</v>
      </c>
      <c r="H45" s="318"/>
      <c r="I45" s="318"/>
      <c r="J45" s="318"/>
      <c r="K45" s="318"/>
      <c r="L45" s="322" t="s">
        <v>15</v>
      </c>
      <c r="M45" s="324">
        <f>IF(SelectScenario!$G$6="Non-Modulating",0,M44)</f>
        <v>0</v>
      </c>
      <c r="N45" s="332" t="s">
        <v>93</v>
      </c>
      <c r="O45" s="1"/>
      <c r="P45" s="292"/>
      <c r="Q45" s="299"/>
      <c r="R45" s="295" t="s">
        <v>193</v>
      </c>
      <c r="S45" s="292"/>
      <c r="T45" s="292"/>
      <c r="U45" s="292"/>
      <c r="V45" s="292"/>
      <c r="W45" s="295" t="s">
        <v>133</v>
      </c>
      <c r="X45" s="299"/>
      <c r="AH45" s="18"/>
    </row>
    <row r="46" spans="1:34" ht="18">
      <c r="A46" s="65"/>
      <c r="B46" s="2"/>
      <c r="C46" s="2"/>
      <c r="D46" s="2"/>
      <c r="E46" s="11"/>
      <c r="F46" s="60"/>
      <c r="G46" s="15"/>
      <c r="H46" s="318"/>
      <c r="I46" s="318"/>
      <c r="J46" s="318"/>
      <c r="K46" s="318"/>
      <c r="L46" s="322"/>
      <c r="M46" s="324"/>
      <c r="N46" s="334"/>
      <c r="O46" s="1"/>
      <c r="P46" s="292"/>
      <c r="Q46" s="295" t="s">
        <v>191</v>
      </c>
      <c r="R46" s="299">
        <v>5</v>
      </c>
      <c r="S46" s="292" t="s">
        <v>117</v>
      </c>
      <c r="T46" s="292"/>
      <c r="U46" s="292"/>
      <c r="V46" s="303" t="s">
        <v>357</v>
      </c>
      <c r="W46" s="299">
        <v>36</v>
      </c>
      <c r="X46" s="299" t="str">
        <f>IF(UNIT="SI-Unit","cm2","in2")</f>
        <v>in2</v>
      </c>
      <c r="AH46" s="18"/>
    </row>
    <row r="47" spans="1:34">
      <c r="A47" s="65"/>
      <c r="B47" s="2"/>
      <c r="C47" s="2"/>
      <c r="D47" s="2"/>
      <c r="E47" s="2"/>
      <c r="F47" s="77" t="s">
        <v>45</v>
      </c>
      <c r="G47" s="15"/>
      <c r="H47" s="318"/>
      <c r="I47" s="318"/>
      <c r="J47" s="318"/>
      <c r="K47" s="318"/>
      <c r="L47" s="318"/>
      <c r="M47" s="321" t="s">
        <v>46</v>
      </c>
      <c r="N47" s="331"/>
      <c r="O47" s="1"/>
      <c r="P47" s="292"/>
      <c r="Q47" s="292"/>
      <c r="R47" s="292"/>
      <c r="S47" s="292"/>
      <c r="T47" s="292"/>
      <c r="U47" s="292"/>
      <c r="V47" s="292"/>
      <c r="W47" s="299"/>
      <c r="X47" s="299"/>
      <c r="AH47" s="18"/>
    </row>
    <row r="48" spans="1:34">
      <c r="A48" s="65"/>
      <c r="B48" s="2"/>
      <c r="C48" s="2"/>
      <c r="D48" s="2"/>
      <c r="E48" s="2"/>
      <c r="F48" s="11" t="str">
        <f>IF(DATAINPUTcnm!$G$5="(Condensing","Note: Measured condensate is required)","(Note: Measured condensate is not required)")</f>
        <v>(Note: Measured condensate is not required)</v>
      </c>
      <c r="G48" s="15"/>
      <c r="H48" s="318"/>
      <c r="I48" s="318"/>
      <c r="J48" s="318"/>
      <c r="K48" s="318"/>
      <c r="L48" s="318"/>
      <c r="M48" s="322" t="str">
        <f>IF(DATAINPUTcnm!$G$5="(Condensing","Note: Measured condensate is required)","(Note: Measured condensate is not required)")</f>
        <v>(Note: Measured condensate is not required)</v>
      </c>
      <c r="N48" s="331"/>
      <c r="O48" s="1"/>
      <c r="P48" s="292"/>
      <c r="Q48" s="292"/>
      <c r="R48" s="292"/>
      <c r="S48" s="292"/>
      <c r="T48" s="292"/>
      <c r="U48" s="292"/>
      <c r="V48" s="292"/>
      <c r="W48" s="295" t="s">
        <v>136</v>
      </c>
      <c r="X48" s="299"/>
      <c r="AH48" s="18"/>
    </row>
    <row r="49" spans="1:34" ht="18">
      <c r="A49" s="65"/>
      <c r="B49" s="2"/>
      <c r="C49" s="2"/>
      <c r="D49" s="2"/>
      <c r="E49" s="11" t="s">
        <v>16</v>
      </c>
      <c r="F49" s="14">
        <f>6.062+0*8.154</f>
        <v>6.0620000000000003</v>
      </c>
      <c r="G49" s="15"/>
      <c r="H49" s="318"/>
      <c r="I49" s="318"/>
      <c r="J49" s="318"/>
      <c r="K49" s="318"/>
      <c r="L49" s="322" t="s">
        <v>16</v>
      </c>
      <c r="M49" s="323">
        <v>0</v>
      </c>
      <c r="N49" s="329"/>
      <c r="O49" s="1"/>
      <c r="P49" s="292"/>
      <c r="Q49" s="292"/>
      <c r="R49" s="292"/>
      <c r="S49" s="292"/>
      <c r="T49" s="292"/>
      <c r="U49" s="292"/>
      <c r="V49" s="303" t="s">
        <v>358</v>
      </c>
      <c r="W49" s="299">
        <v>2</v>
      </c>
      <c r="X49" s="299" t="str">
        <f>IF(UNIT="SI-Unit","cm2","in2")</f>
        <v>in2</v>
      </c>
      <c r="AH49" s="18"/>
    </row>
    <row r="50" spans="1:34">
      <c r="A50" s="65"/>
      <c r="B50" s="2"/>
      <c r="C50" s="2"/>
      <c r="E50" s="11" t="s">
        <v>15</v>
      </c>
      <c r="F50" s="61">
        <f>IF(SelectScenario!$G$4="Condensing",DATAINPUTcnm!F49,0)</f>
        <v>6.0620000000000003</v>
      </c>
      <c r="G50" s="15" t="str">
        <f>IF(UNIT="SI-Unit","KG/HR","LB/HR")</f>
        <v>LB/HR</v>
      </c>
      <c r="H50" s="318"/>
      <c r="I50" s="318"/>
      <c r="J50" s="318"/>
      <c r="K50" s="318"/>
      <c r="L50" s="322" t="s">
        <v>15</v>
      </c>
      <c r="M50" s="324">
        <f>IF(SelectScenario!$G$6="Non-Modulating",0,M49)</f>
        <v>0</v>
      </c>
      <c r="N50" s="330" t="str">
        <f>IF(UNIT="SI-Unit","KG/HR","LD/HR")</f>
        <v>LD/HR</v>
      </c>
      <c r="O50" s="1"/>
      <c r="P50" s="292"/>
      <c r="Q50" s="292"/>
      <c r="R50" s="292"/>
      <c r="S50" s="292"/>
      <c r="T50" s="292"/>
      <c r="U50" s="292"/>
      <c r="V50" s="292"/>
      <c r="W50" s="299"/>
      <c r="X50" s="299"/>
      <c r="AH50" s="18"/>
    </row>
    <row r="51" spans="1:34">
      <c r="A51" s="65"/>
      <c r="B51" s="2"/>
      <c r="C51" s="2"/>
      <c r="D51" s="2"/>
      <c r="E51" s="11"/>
      <c r="F51" s="60"/>
      <c r="G51" s="15"/>
      <c r="H51" s="318"/>
      <c r="I51" s="318"/>
      <c r="J51" s="318"/>
      <c r="K51" s="318"/>
      <c r="L51" s="322"/>
      <c r="M51" s="324"/>
      <c r="N51" s="334"/>
      <c r="O51" s="1"/>
      <c r="P51" s="292"/>
      <c r="Q51" s="292"/>
      <c r="R51" s="292"/>
      <c r="S51" s="292"/>
      <c r="T51" s="292"/>
      <c r="U51" s="292"/>
      <c r="V51" s="292"/>
      <c r="W51" s="295" t="s">
        <v>138</v>
      </c>
      <c r="X51" s="299"/>
      <c r="AH51" s="18"/>
    </row>
    <row r="52" spans="1:34" ht="18">
      <c r="A52" s="65"/>
      <c r="B52" s="2"/>
      <c r="C52" s="2"/>
      <c r="D52" s="2"/>
      <c r="E52" s="11"/>
      <c r="F52" s="77" t="s">
        <v>63</v>
      </c>
      <c r="G52" s="15"/>
      <c r="H52" s="318"/>
      <c r="I52" s="318"/>
      <c r="J52" s="318"/>
      <c r="K52" s="318"/>
      <c r="L52" s="322"/>
      <c r="M52" s="321" t="s">
        <v>63</v>
      </c>
      <c r="N52" s="334"/>
      <c r="O52" s="1"/>
      <c r="P52" s="292"/>
      <c r="Q52" s="292"/>
      <c r="R52" s="292"/>
      <c r="S52" s="292"/>
      <c r="T52" s="292"/>
      <c r="U52" s="292"/>
      <c r="V52" s="303" t="s">
        <v>359</v>
      </c>
      <c r="W52" s="299">
        <v>2</v>
      </c>
      <c r="X52" s="299" t="str">
        <f>IF(UNIT="SI-Unit","cm2","in2")</f>
        <v>in2</v>
      </c>
      <c r="AH52" s="18"/>
    </row>
    <row r="53" spans="1:34">
      <c r="A53" s="65"/>
      <c r="B53" s="2"/>
      <c r="C53" s="2"/>
      <c r="D53" s="2"/>
      <c r="E53" s="2"/>
      <c r="F53" s="14">
        <v>81.239999999999995</v>
      </c>
      <c r="G53" s="15"/>
      <c r="H53" s="318"/>
      <c r="I53" s="318"/>
      <c r="J53" s="318"/>
      <c r="K53" s="318"/>
      <c r="L53" s="318"/>
      <c r="M53" s="323">
        <v>70</v>
      </c>
      <c r="N53" s="330"/>
      <c r="P53" s="292"/>
      <c r="Q53" s="292"/>
      <c r="R53" s="292"/>
      <c r="S53" s="292"/>
      <c r="T53" s="292"/>
      <c r="U53" s="292"/>
      <c r="V53" s="292"/>
      <c r="W53" s="299"/>
      <c r="X53" s="299"/>
    </row>
    <row r="54" spans="1:34">
      <c r="A54" s="65"/>
      <c r="B54" s="2"/>
      <c r="C54" s="2"/>
      <c r="D54" s="2"/>
      <c r="E54" s="2"/>
      <c r="F54" s="61">
        <f>F53</f>
        <v>81.239999999999995</v>
      </c>
      <c r="G54" s="15" t="str">
        <f>IF(UNIT="SI-Unit","C-Degree","F-Degree")</f>
        <v>F-Degree</v>
      </c>
      <c r="H54" s="318"/>
      <c r="I54" s="318"/>
      <c r="J54" s="318"/>
      <c r="K54" s="318"/>
      <c r="L54" s="318"/>
      <c r="M54" s="324">
        <f>M53</f>
        <v>70</v>
      </c>
      <c r="N54" s="330" t="str">
        <f>IF(UNIT="SI-Unit","C-Degree","F-Degree")</f>
        <v>F-Degree</v>
      </c>
      <c r="P54" s="292"/>
      <c r="Q54" s="292"/>
      <c r="R54" s="292"/>
      <c r="S54" s="292"/>
      <c r="T54" s="292"/>
      <c r="U54" s="292"/>
      <c r="V54" s="292"/>
      <c r="W54" s="295" t="s">
        <v>139</v>
      </c>
      <c r="X54" s="299"/>
    </row>
    <row r="55" spans="1:34">
      <c r="A55" s="65"/>
      <c r="B55" s="2"/>
      <c r="C55" s="2"/>
      <c r="D55" s="2"/>
      <c r="E55" s="2"/>
      <c r="F55" s="60"/>
      <c r="G55" s="15"/>
      <c r="H55" s="318"/>
      <c r="I55" s="318"/>
      <c r="J55" s="318"/>
      <c r="K55" s="318"/>
      <c r="L55" s="318"/>
      <c r="M55" s="318"/>
      <c r="N55" s="330"/>
      <c r="P55" s="292"/>
      <c r="Q55" s="292"/>
      <c r="R55" s="292"/>
      <c r="S55" s="292"/>
      <c r="T55" s="292"/>
      <c r="U55" s="292"/>
      <c r="V55" s="314" t="s">
        <v>140</v>
      </c>
      <c r="W55" s="299">
        <v>90</v>
      </c>
      <c r="X55" s="299" t="s">
        <v>143</v>
      </c>
    </row>
    <row r="56" spans="1:34">
      <c r="A56" s="65"/>
      <c r="B56" s="2"/>
      <c r="C56" s="2"/>
      <c r="D56" s="2"/>
      <c r="E56" s="2"/>
      <c r="F56" s="77" t="s">
        <v>49</v>
      </c>
      <c r="G56" s="15"/>
      <c r="H56" s="318"/>
      <c r="I56" s="318"/>
      <c r="J56" s="318"/>
      <c r="K56" s="318"/>
      <c r="L56" s="318"/>
      <c r="M56" s="318"/>
      <c r="N56" s="327"/>
      <c r="O56" s="1"/>
      <c r="P56" s="292"/>
      <c r="Q56" s="292"/>
      <c r="R56" s="292"/>
      <c r="S56" s="292"/>
      <c r="T56" s="292"/>
      <c r="U56" s="292"/>
      <c r="V56" s="292"/>
      <c r="W56" s="299"/>
      <c r="X56" s="299"/>
      <c r="AH56" s="18"/>
    </row>
    <row r="57" spans="1:34">
      <c r="A57" s="65"/>
      <c r="B57" s="2"/>
      <c r="C57" s="2"/>
      <c r="D57" s="2"/>
      <c r="E57" s="11" t="s">
        <v>16</v>
      </c>
      <c r="F57" s="14">
        <v>72</v>
      </c>
      <c r="G57" s="15"/>
      <c r="H57" s="318"/>
      <c r="I57" s="318"/>
      <c r="J57" s="318"/>
      <c r="K57" s="318"/>
      <c r="L57" s="318"/>
      <c r="M57" s="318"/>
      <c r="N57" s="335"/>
      <c r="O57" s="1"/>
      <c r="P57" s="292"/>
      <c r="Q57" s="292"/>
      <c r="R57" s="292"/>
      <c r="S57" s="292"/>
      <c r="T57" s="292"/>
      <c r="U57" s="292"/>
      <c r="V57" s="292"/>
      <c r="W57" s="295" t="s">
        <v>135</v>
      </c>
      <c r="X57" s="299"/>
      <c r="AH57" s="18"/>
    </row>
    <row r="58" spans="1:34" ht="18">
      <c r="A58" s="65"/>
      <c r="B58" s="2"/>
      <c r="C58" s="2"/>
      <c r="D58" s="2"/>
      <c r="E58" s="11" t="s">
        <v>15</v>
      </c>
      <c r="F58" s="61">
        <f>F57</f>
        <v>72</v>
      </c>
      <c r="G58" s="15" t="str">
        <f>IF(UNIT="SI-Unit","C-Degree","F-Degree")</f>
        <v>F-Degree</v>
      </c>
      <c r="H58" s="318"/>
      <c r="I58" s="318"/>
      <c r="J58" s="318"/>
      <c r="K58" s="318"/>
      <c r="L58" s="318"/>
      <c r="M58" s="318"/>
      <c r="N58" s="327"/>
      <c r="O58" s="1"/>
      <c r="P58" s="292"/>
      <c r="Q58" s="292"/>
      <c r="R58" s="292"/>
      <c r="S58" s="292"/>
      <c r="T58" s="292"/>
      <c r="U58" s="292"/>
      <c r="V58" s="303" t="s">
        <v>360</v>
      </c>
      <c r="W58" s="315">
        <f>W49*COS(W55*3.14/180)+W52</f>
        <v>2.0015926534214663</v>
      </c>
      <c r="X58" s="299" t="str">
        <f>IF(UNIT="SI-Unit","cm2","in2")</f>
        <v>in2</v>
      </c>
      <c r="AH58" s="18"/>
    </row>
    <row r="59" spans="1:34" ht="15.75" thickBot="1">
      <c r="A59" s="71"/>
      <c r="B59" s="72"/>
      <c r="C59" s="72"/>
      <c r="D59" s="72"/>
      <c r="E59" s="72"/>
      <c r="F59" s="83"/>
      <c r="G59" s="72"/>
      <c r="H59" s="336"/>
      <c r="I59" s="336"/>
      <c r="J59" s="336"/>
      <c r="K59" s="336"/>
      <c r="L59" s="336"/>
      <c r="M59" s="336"/>
      <c r="N59" s="337"/>
      <c r="O59" s="1"/>
      <c r="P59" s="292"/>
      <c r="Q59" s="292"/>
      <c r="R59" s="292"/>
      <c r="S59" s="292"/>
      <c r="T59" s="292"/>
      <c r="U59" s="292"/>
      <c r="V59" s="292"/>
      <c r="W59" s="292"/>
      <c r="X59" s="292"/>
      <c r="AH59" s="18"/>
    </row>
    <row r="60" spans="1:34" ht="15.75" thickBot="1">
      <c r="A60" s="2"/>
      <c r="B60" s="2"/>
      <c r="C60" s="2"/>
      <c r="D60" s="2"/>
      <c r="E60" s="2"/>
      <c r="F60" s="81"/>
      <c r="G60" s="2"/>
      <c r="H60" s="2"/>
      <c r="I60" s="2"/>
      <c r="J60" s="2"/>
      <c r="K60" s="2"/>
      <c r="L60" s="2"/>
      <c r="M60" s="2"/>
      <c r="N60" s="2"/>
      <c r="O60" s="1"/>
      <c r="AH60" s="18"/>
    </row>
    <row r="61" spans="1:34" ht="16.5" thickBot="1">
      <c r="A61" s="95" t="s">
        <v>25</v>
      </c>
      <c r="B61" s="95"/>
      <c r="C61" s="96"/>
      <c r="D61" s="96"/>
      <c r="E61" s="96"/>
      <c r="F61" s="97"/>
      <c r="G61" s="96"/>
      <c r="H61" s="96"/>
      <c r="I61" s="96"/>
      <c r="J61" s="96"/>
      <c r="K61" s="96"/>
      <c r="L61" s="96"/>
      <c r="M61" s="96"/>
      <c r="N61" s="98"/>
      <c r="P61" s="139"/>
      <c r="Q61" s="140"/>
      <c r="R61" s="140"/>
      <c r="S61" s="140"/>
      <c r="T61" s="140"/>
      <c r="U61" s="140"/>
      <c r="V61" s="140"/>
      <c r="W61" s="178" t="s">
        <v>182</v>
      </c>
      <c r="X61" s="175"/>
      <c r="AH61" s="18"/>
    </row>
    <row r="62" spans="1:34">
      <c r="A62" s="62"/>
      <c r="B62" s="63"/>
      <c r="C62" s="63"/>
      <c r="D62" s="63"/>
      <c r="E62" s="63"/>
      <c r="F62" s="102" t="s">
        <v>59</v>
      </c>
      <c r="G62" s="63"/>
      <c r="H62" s="342"/>
      <c r="I62" s="342"/>
      <c r="J62" s="342"/>
      <c r="K62" s="342"/>
      <c r="L62" s="342"/>
      <c r="M62" s="343" t="s">
        <v>56</v>
      </c>
      <c r="N62" s="344"/>
      <c r="P62" s="62"/>
      <c r="Q62" s="63"/>
      <c r="R62" s="63"/>
      <c r="S62" s="63"/>
      <c r="T62" s="63"/>
      <c r="U62" s="63"/>
      <c r="V62" s="63"/>
      <c r="W62" s="75" t="s">
        <v>183</v>
      </c>
      <c r="X62" s="64"/>
      <c r="AH62" s="18"/>
    </row>
    <row r="63" spans="1:34">
      <c r="A63" s="65"/>
      <c r="B63" s="2"/>
      <c r="C63" s="2"/>
      <c r="D63" s="2"/>
      <c r="E63" s="2"/>
      <c r="F63" s="88" t="str">
        <f>IF(SelectScenario!$G$6="Non-Modulating","(The maximum parameters are required@"&amp;SelectScenario!$G$6&amp;")",IF(SelectScenario!$G$6="Step-Modulating","The maximum parameters are not required@"&amp;SelectScenario!$G$6&amp;")","(The maximum parameters are required@"&amp;SelectScenario!$G$6&amp;")"))</f>
        <v>The maximum parameters are not required@Step-Modulating)</v>
      </c>
      <c r="G63" s="2"/>
      <c r="H63" s="318"/>
      <c r="I63" s="318"/>
      <c r="J63" s="318"/>
      <c r="K63" s="318"/>
      <c r="L63" s="318"/>
      <c r="M63" s="320" t="str">
        <f>IF(SelectScenario!$G$6="Non-Modulating","(The reduced parameters are not required@"&amp;SelectScenario!$G$6&amp;")",IF(SelectScenario!$G$6="Step-Modulating","The maximum parameters are required@"&amp;SelectScenario!$G$6&amp;")","(The maximum parameters are required@"&amp;SelectScenario!$G$6&amp;")"))</f>
        <v>The maximum parameters are required@Step-Modulating)</v>
      </c>
      <c r="N63" s="327"/>
      <c r="P63" s="65"/>
      <c r="Q63" s="2"/>
      <c r="R63" s="2"/>
      <c r="S63" s="2"/>
      <c r="T63" s="2"/>
      <c r="U63" s="2"/>
      <c r="V63" s="2"/>
      <c r="W63" s="2"/>
      <c r="X63" s="79"/>
      <c r="AH63" s="18"/>
    </row>
    <row r="64" spans="1:34">
      <c r="A64" s="65"/>
      <c r="B64" s="2"/>
      <c r="C64" s="2"/>
      <c r="D64" s="2"/>
      <c r="E64" s="2"/>
      <c r="F64" s="88"/>
      <c r="G64" s="2"/>
      <c r="H64" s="318"/>
      <c r="I64" s="318"/>
      <c r="J64" s="318"/>
      <c r="K64" s="318"/>
      <c r="L64" s="318"/>
      <c r="M64" s="320"/>
      <c r="N64" s="327"/>
      <c r="P64" s="65"/>
      <c r="Q64" s="2"/>
      <c r="R64" s="2"/>
      <c r="S64" s="2"/>
      <c r="T64" s="2"/>
      <c r="U64" s="2"/>
      <c r="V64" s="2"/>
      <c r="W64" s="2"/>
      <c r="X64" s="79"/>
      <c r="AH64" s="18"/>
    </row>
    <row r="65" spans="1:34">
      <c r="A65" s="125" t="s">
        <v>29</v>
      </c>
      <c r="B65" s="2"/>
      <c r="C65" s="2"/>
      <c r="D65" s="2"/>
      <c r="E65" s="2"/>
      <c r="F65" s="77" t="s">
        <v>28</v>
      </c>
      <c r="G65" s="2"/>
      <c r="H65" s="338" t="s">
        <v>29</v>
      </c>
      <c r="I65" s="318"/>
      <c r="J65" s="318"/>
      <c r="K65" s="318"/>
      <c r="L65" s="318"/>
      <c r="M65" s="321" t="s">
        <v>28</v>
      </c>
      <c r="N65" s="327"/>
      <c r="P65" s="65"/>
      <c r="Q65" s="2"/>
      <c r="R65" s="2"/>
      <c r="S65" s="11" t="s">
        <v>181</v>
      </c>
      <c r="T65" s="2"/>
      <c r="U65" s="2"/>
      <c r="V65" s="2"/>
      <c r="W65" s="11" t="s">
        <v>180</v>
      </c>
      <c r="X65" s="79"/>
      <c r="AH65" s="18"/>
    </row>
    <row r="66" spans="1:34">
      <c r="A66" s="191">
        <f>A86+1.5</f>
        <v>1.5</v>
      </c>
      <c r="B66" s="2" t="s">
        <v>117</v>
      </c>
      <c r="C66" s="2"/>
      <c r="D66" s="2"/>
      <c r="E66" s="81" t="str">
        <f>IF($M$3="YES","tp is pos-purge period","N/A")</f>
        <v>N/A</v>
      </c>
      <c r="F66" s="14">
        <v>89.77</v>
      </c>
      <c r="G66" s="2"/>
      <c r="H66" s="338">
        <f>H86+1.5</f>
        <v>1.5</v>
      </c>
      <c r="I66" s="318" t="s">
        <v>117</v>
      </c>
      <c r="J66" s="318"/>
      <c r="K66" s="318"/>
      <c r="L66" s="321" t="str">
        <f>IF($M$3="YES","tp is pos-purge period","N/A")</f>
        <v>N/A</v>
      </c>
      <c r="M66" s="323">
        <v>0</v>
      </c>
      <c r="N66" s="327"/>
      <c r="P66" s="65"/>
      <c r="Q66" s="2"/>
      <c r="R66" s="2"/>
      <c r="S66" s="177">
        <f>28*21-3.14*18*18/4</f>
        <v>333.65999999999997</v>
      </c>
      <c r="T66" s="15" t="str">
        <f>IF(UNIT="SI-Unit","cm2","in2")</f>
        <v>in2</v>
      </c>
      <c r="U66" s="2"/>
      <c r="V66" s="2"/>
      <c r="W66" s="177">
        <v>99.6</v>
      </c>
      <c r="X66" s="79" t="str">
        <f>IF(UNIT="SI-Unit","C-Degree","F-Degree")</f>
        <v>F-Degree</v>
      </c>
      <c r="AH66" s="18"/>
    </row>
    <row r="67" spans="1:34">
      <c r="A67" s="125"/>
      <c r="B67" s="2"/>
      <c r="C67" s="2"/>
      <c r="D67" s="2"/>
      <c r="E67" s="81" t="str">
        <f>IF($M$3="YES","Note: t3=tp+1.5min after a burner shuts off","Note: t3=1.5min after a burner shuts off")</f>
        <v>Note: t3=1.5min after a burner shuts off</v>
      </c>
      <c r="F67" s="61">
        <f>IF(F66&lt;=F75,F75+0.2,IF(F66&lt;=F71,F71+0.1,F66))</f>
        <v>90.27</v>
      </c>
      <c r="G67" s="2" t="str">
        <f>IF(UNIT="SI-Unit","C-Degree","F-Degree")</f>
        <v>F-Degree</v>
      </c>
      <c r="H67" s="338"/>
      <c r="I67" s="318"/>
      <c r="J67" s="318"/>
      <c r="K67" s="318"/>
      <c r="L67" s="321" t="str">
        <f>IF($M$3="YES","Note: t3=tp+1.5min after a burner shuts off","Note: t3=1.5min after a burner shuts off")</f>
        <v>Note: t3=1.5min after a burner shuts off</v>
      </c>
      <c r="M67" s="324">
        <f>IF(M66&lt;=M75,M75+0.2,IF(M66&lt;=M71,M71+0.1,M66))</f>
        <v>72.2</v>
      </c>
      <c r="N67" s="327" t="str">
        <f>IF(UNIT="SI-Unit","C-Degree","F-Degree")</f>
        <v>F-Degree</v>
      </c>
      <c r="P67" s="65"/>
      <c r="Q67" s="2"/>
      <c r="R67" s="2"/>
      <c r="S67" s="2"/>
      <c r="T67" s="2"/>
      <c r="U67" s="2"/>
      <c r="V67" s="2"/>
      <c r="W67" s="2"/>
      <c r="X67" s="79"/>
      <c r="AH67" s="18"/>
    </row>
    <row r="68" spans="1:34">
      <c r="A68" s="65"/>
      <c r="B68" s="2"/>
      <c r="C68" s="2"/>
      <c r="D68" s="2"/>
      <c r="E68" s="2"/>
      <c r="F68" s="8"/>
      <c r="G68" s="2"/>
      <c r="H68" s="318"/>
      <c r="I68" s="318"/>
      <c r="J68" s="318"/>
      <c r="K68" s="318"/>
      <c r="L68" s="339"/>
      <c r="M68" s="340"/>
      <c r="N68" s="327"/>
      <c r="P68" s="65"/>
      <c r="Q68" s="2"/>
      <c r="R68" s="2"/>
      <c r="S68" s="11" t="s">
        <v>370</v>
      </c>
      <c r="T68" s="2"/>
      <c r="U68" s="2"/>
      <c r="V68" s="2"/>
      <c r="W68" s="11" t="s">
        <v>371</v>
      </c>
      <c r="X68" s="79"/>
      <c r="AH68" s="18"/>
    </row>
    <row r="69" spans="1:34">
      <c r="A69" s="125" t="s">
        <v>31</v>
      </c>
      <c r="B69" s="2"/>
      <c r="C69" s="2"/>
      <c r="D69" s="2"/>
      <c r="E69" s="2"/>
      <c r="F69" s="77" t="s">
        <v>32</v>
      </c>
      <c r="G69" s="2"/>
      <c r="H69" s="338" t="s">
        <v>31</v>
      </c>
      <c r="I69" s="318"/>
      <c r="J69" s="318"/>
      <c r="K69" s="318"/>
      <c r="L69" s="339"/>
      <c r="M69" s="321" t="s">
        <v>32</v>
      </c>
      <c r="N69" s="327"/>
      <c r="P69" s="65"/>
      <c r="Q69" s="2"/>
      <c r="R69" s="2"/>
      <c r="S69" s="177">
        <f>21*34*2+28*34*2</f>
        <v>3332</v>
      </c>
      <c r="T69" s="15" t="str">
        <f>IF(UNIT="SI-Unit","cm2","in2")</f>
        <v>in2</v>
      </c>
      <c r="U69" s="2"/>
      <c r="V69" s="2"/>
      <c r="W69" s="177">
        <v>79.8</v>
      </c>
      <c r="X69" s="79" t="str">
        <f>IF(UNIT="SI-Unit","C-Degree","F-Degree")</f>
        <v>F-Degree</v>
      </c>
      <c r="AH69" s="18"/>
    </row>
    <row r="70" spans="1:34">
      <c r="A70" s="192">
        <f>A86+9</f>
        <v>9</v>
      </c>
      <c r="B70" s="2" t="s">
        <v>117</v>
      </c>
      <c r="C70" s="2"/>
      <c r="D70" s="2"/>
      <c r="E70" s="104" t="str">
        <f>IF($M$3="YES","tp is pos-purge period","N/A")</f>
        <v>N/A</v>
      </c>
      <c r="F70" s="14">
        <v>90.17</v>
      </c>
      <c r="G70" s="2"/>
      <c r="H70" s="341">
        <f>H86+9</f>
        <v>9</v>
      </c>
      <c r="I70" s="318" t="s">
        <v>117</v>
      </c>
      <c r="J70" s="318"/>
      <c r="K70" s="318"/>
      <c r="L70" s="321" t="str">
        <f>IF($M$3="YES","tp is pos-purge period","N/A")</f>
        <v>N/A</v>
      </c>
      <c r="M70" s="323">
        <v>0</v>
      </c>
      <c r="N70" s="327"/>
      <c r="P70" s="65"/>
      <c r="Q70" s="2"/>
      <c r="R70" s="2"/>
      <c r="S70" s="2"/>
      <c r="T70" s="2"/>
      <c r="U70" s="2"/>
      <c r="V70" s="2"/>
      <c r="W70" s="2"/>
      <c r="X70" s="79"/>
      <c r="AH70" s="18"/>
    </row>
    <row r="71" spans="1:34">
      <c r="A71" s="65"/>
      <c r="B71" s="2"/>
      <c r="C71" s="2"/>
      <c r="D71" s="2"/>
      <c r="E71" s="81" t="str">
        <f>IF($M$3="YES","Note: t4=tp+9.0min after a burner shuts off","Note: t4=9.0min after a burner shuts off")</f>
        <v>Note: t4=9.0min after a burner shuts off</v>
      </c>
      <c r="F71" s="61">
        <f>IF(F70&lt;=F75,F75+0.1,F70)</f>
        <v>90.17</v>
      </c>
      <c r="G71" s="2" t="str">
        <f>IF(UNIT="SI-Unit","C-Degree","F-Degree")</f>
        <v>F-Degree</v>
      </c>
      <c r="H71" s="318"/>
      <c r="I71" s="318"/>
      <c r="J71" s="318"/>
      <c r="K71" s="318"/>
      <c r="L71" s="321" t="str">
        <f>IF($M$3="YES","Note: t4=tp+9.0min after a burner shuts off","Note: t4=9.0min after a burner shuts off")</f>
        <v>Note: t4=9.0min after a burner shuts off</v>
      </c>
      <c r="M71" s="324">
        <f>IF(M70&lt;=M75,M75+0.1,M70)</f>
        <v>72.099999999999994</v>
      </c>
      <c r="N71" s="327" t="str">
        <f>IF(UNIT="SI-Unit","C-Degree","F-Degree")</f>
        <v>F-Degree</v>
      </c>
      <c r="P71" s="65"/>
      <c r="Q71" s="2"/>
      <c r="R71" s="2"/>
      <c r="S71" s="11" t="s">
        <v>372</v>
      </c>
      <c r="T71" s="2"/>
      <c r="U71" s="2"/>
      <c r="V71" s="2"/>
      <c r="W71" s="11" t="s">
        <v>373</v>
      </c>
      <c r="X71" s="79"/>
      <c r="AH71" s="18"/>
    </row>
    <row r="72" spans="1:34">
      <c r="A72" s="65"/>
      <c r="B72" s="2"/>
      <c r="C72" s="2"/>
      <c r="D72" s="2"/>
      <c r="E72" s="2"/>
      <c r="F72" s="8"/>
      <c r="G72" s="2"/>
      <c r="H72" s="318"/>
      <c r="I72" s="318"/>
      <c r="J72" s="318"/>
      <c r="K72" s="318"/>
      <c r="L72" s="339"/>
      <c r="M72" s="340"/>
      <c r="N72" s="327"/>
      <c r="P72" s="65"/>
      <c r="Q72" s="2"/>
      <c r="R72" s="2"/>
      <c r="S72" s="177">
        <v>333.66</v>
      </c>
      <c r="T72" s="15" t="str">
        <f>IF(UNIT="SI-Unit","cm2","in2")</f>
        <v>in2</v>
      </c>
      <c r="U72" s="2"/>
      <c r="V72" s="2"/>
      <c r="W72" s="177">
        <v>74.099999999999994</v>
      </c>
      <c r="X72" s="79" t="str">
        <f>IF(UNIT="SI-Unit","C-Degree","F-Degree")</f>
        <v>F-Degree</v>
      </c>
      <c r="AH72" s="18"/>
    </row>
    <row r="73" spans="1:34">
      <c r="A73" s="125" t="s">
        <v>119</v>
      </c>
      <c r="B73" s="2"/>
      <c r="C73" s="2"/>
      <c r="D73" s="2"/>
      <c r="E73" s="2"/>
      <c r="F73" s="77" t="s">
        <v>33</v>
      </c>
      <c r="G73" s="2"/>
      <c r="H73" s="338" t="s">
        <v>119</v>
      </c>
      <c r="I73" s="318"/>
      <c r="J73" s="318"/>
      <c r="K73" s="318"/>
      <c r="L73" s="339"/>
      <c r="M73" s="321" t="s">
        <v>33</v>
      </c>
      <c r="N73" s="327"/>
      <c r="P73" s="65"/>
      <c r="Q73" s="2"/>
      <c r="R73" s="2"/>
      <c r="S73" s="2"/>
      <c r="T73" s="2"/>
      <c r="U73" s="2"/>
      <c r="V73" s="2"/>
      <c r="W73" s="2"/>
      <c r="X73" s="79"/>
      <c r="AH73" s="18"/>
    </row>
    <row r="74" spans="1:34">
      <c r="A74" s="191">
        <v>60</v>
      </c>
      <c r="B74" s="2" t="s">
        <v>117</v>
      </c>
      <c r="C74" s="2"/>
      <c r="D74" s="2"/>
      <c r="E74" s="104"/>
      <c r="F74" s="14">
        <v>80</v>
      </c>
      <c r="G74" s="2"/>
      <c r="H74" s="338">
        <v>600</v>
      </c>
      <c r="I74" s="318" t="s">
        <v>117</v>
      </c>
      <c r="J74" s="318"/>
      <c r="K74" s="318"/>
      <c r="L74" s="339"/>
      <c r="M74" s="323">
        <v>0</v>
      </c>
      <c r="N74" s="327"/>
      <c r="P74" s="65"/>
      <c r="Q74" s="2"/>
      <c r="R74" s="2"/>
      <c r="S74" s="11" t="s">
        <v>184</v>
      </c>
      <c r="T74" s="2"/>
      <c r="U74" s="2"/>
      <c r="V74" s="2"/>
      <c r="W74" s="2"/>
      <c r="X74" s="79"/>
      <c r="AH74" s="18"/>
    </row>
    <row r="75" spans="1:34">
      <c r="A75" s="65"/>
      <c r="B75" s="2"/>
      <c r="C75" s="2"/>
      <c r="D75" s="2"/>
      <c r="E75" s="81" t="str">
        <f>IF(AND(SelectScenario!$G$59="YES",SelectScenario!$G$43="NO"),"Note: TF,OFF[t5] is required","Note: TF,OFF[t5] is not required")</f>
        <v>Note: TF,OFF[t5] is not required</v>
      </c>
      <c r="F75" s="93">
        <f>IF(AND(SelectScenario!$G$59="YES",SelectScenario!$G$43="NO"),DATAINPUTcnm!F74,DATAINPUTcnm!F58)</f>
        <v>72</v>
      </c>
      <c r="G75" s="2" t="str">
        <f>IF(UNIT="SI-Unit","C-Degree","F-Degree")</f>
        <v>F-Degree</v>
      </c>
      <c r="H75" s="318"/>
      <c r="I75" s="318"/>
      <c r="J75" s="318"/>
      <c r="K75" s="318"/>
      <c r="L75" s="321" t="str">
        <f>IF(AND(SelectScenario!$G$59="YES",SelectScenario!$G$43="NO"),"Note: TF,OFF[t5] is required","Note: TF,OFF[t5] is not required")</f>
        <v>Note: TF,OFF[t5] is not required</v>
      </c>
      <c r="M75" s="338">
        <f>IF(AND(SelectScenario!$G$59="YES",SelectScenario!$G$43="NO"),DATAINPUTcnm!M74,F58)</f>
        <v>72</v>
      </c>
      <c r="N75" s="327" t="str">
        <f>IF(UNIT="SI-Unit","C-Degree","F-Degree")</f>
        <v>F-Degree</v>
      </c>
      <c r="P75" s="65"/>
      <c r="Q75" s="2"/>
      <c r="R75" s="2"/>
      <c r="S75" s="130" t="s">
        <v>185</v>
      </c>
      <c r="T75" s="181" t="s">
        <v>189</v>
      </c>
      <c r="U75" s="2"/>
      <c r="V75" s="2"/>
      <c r="W75" s="2"/>
      <c r="X75" s="79"/>
      <c r="AH75" s="18"/>
    </row>
    <row r="76" spans="1:34">
      <c r="A76" s="65"/>
      <c r="B76" s="2"/>
      <c r="C76" s="2"/>
      <c r="D76" s="2"/>
      <c r="E76" s="2"/>
      <c r="F76" s="66"/>
      <c r="G76" s="304"/>
      <c r="H76" s="318"/>
      <c r="I76" s="318"/>
      <c r="J76" s="318"/>
      <c r="K76" s="318"/>
      <c r="L76" s="339"/>
      <c r="M76" s="320"/>
      <c r="N76" s="327"/>
      <c r="P76" s="65"/>
      <c r="Q76" s="2"/>
      <c r="R76" s="2"/>
      <c r="S76" s="2"/>
      <c r="T76" s="2"/>
      <c r="U76" s="2"/>
      <c r="V76" s="2"/>
      <c r="W76" s="2"/>
      <c r="X76" s="79"/>
      <c r="AH76" s="18"/>
    </row>
    <row r="77" spans="1:34">
      <c r="A77" s="65"/>
      <c r="B77" s="2"/>
      <c r="C77" s="2"/>
      <c r="D77" s="2"/>
      <c r="E77" s="2"/>
      <c r="F77" s="77" t="s">
        <v>57</v>
      </c>
      <c r="G77" s="2"/>
      <c r="H77" s="318"/>
      <c r="I77" s="318"/>
      <c r="J77" s="318"/>
      <c r="K77" s="318"/>
      <c r="L77" s="339"/>
      <c r="M77" s="321" t="s">
        <v>57</v>
      </c>
      <c r="N77" s="327"/>
      <c r="P77" s="65"/>
      <c r="Q77" s="2"/>
      <c r="R77" s="2"/>
      <c r="S77" s="2"/>
      <c r="T77" s="2"/>
      <c r="U77" s="2"/>
      <c r="V77" s="2"/>
      <c r="W77" s="2"/>
      <c r="X77" s="79"/>
      <c r="AH77" s="18"/>
    </row>
    <row r="78" spans="1:34">
      <c r="A78" s="65"/>
      <c r="B78" s="2"/>
      <c r="C78" s="2"/>
      <c r="D78" s="2"/>
      <c r="E78" s="81" t="str">
        <f>IF(SelectScenario!$G$59="YES","at plit mode","at no plit mode")</f>
        <v>at no plit mode</v>
      </c>
      <c r="F78" s="14">
        <v>0</v>
      </c>
      <c r="G78" s="304"/>
      <c r="H78" s="318"/>
      <c r="I78" s="318"/>
      <c r="J78" s="318"/>
      <c r="K78" s="318"/>
      <c r="L78" s="321" t="str">
        <f>IF(SelectScenario!$G$59="YES","at plit mode","at no plit mode")</f>
        <v>at no plit mode</v>
      </c>
      <c r="M78" s="323">
        <v>0</v>
      </c>
      <c r="N78" s="327"/>
      <c r="P78" s="65"/>
      <c r="Q78" s="2"/>
      <c r="R78" s="2"/>
      <c r="S78" s="2"/>
      <c r="T78" s="2"/>
      <c r="U78" s="2"/>
      <c r="V78" s="2"/>
      <c r="W78" s="2"/>
      <c r="X78" s="79"/>
      <c r="AH78" s="18"/>
    </row>
    <row r="79" spans="1:34">
      <c r="A79" s="65"/>
      <c r="B79" s="2"/>
      <c r="C79" s="2"/>
      <c r="D79" s="2"/>
      <c r="E79" s="81" t="str">
        <f>IF(SelectScenario!$G$59="YES","Note: Qp is required at plit mode","Note: Qp is not required at no plit mode")</f>
        <v>Note: Qp is not required at no plit mode</v>
      </c>
      <c r="F79" s="61">
        <f>F78</f>
        <v>0</v>
      </c>
      <c r="G79" s="15" t="str">
        <f>IF(UNIT="SI-Unit","kW","BTU/HR")</f>
        <v>BTU/HR</v>
      </c>
      <c r="H79" s="318"/>
      <c r="I79" s="318"/>
      <c r="J79" s="318"/>
      <c r="K79" s="318"/>
      <c r="L79" s="321" t="str">
        <f>IF(SelectScenario!$G$59="YES","Note: Qp is required at plit mode","Note: Qp is not required at no plit mode")</f>
        <v>Note: Qp is not required at no plit mode</v>
      </c>
      <c r="M79" s="324">
        <f>M78</f>
        <v>0</v>
      </c>
      <c r="N79" s="330" t="str">
        <f>IF(UNIT="SI-Unit","kW","BTU/HR")</f>
        <v>BTU/HR</v>
      </c>
      <c r="P79" s="65"/>
      <c r="Q79" s="2"/>
      <c r="R79" s="2"/>
      <c r="S79" s="2"/>
      <c r="T79" s="2"/>
      <c r="U79" s="2"/>
      <c r="V79" s="2"/>
      <c r="W79" s="2"/>
      <c r="X79" s="79"/>
      <c r="AH79" s="18"/>
    </row>
    <row r="80" spans="1:34" ht="15.75" thickBot="1">
      <c r="A80" s="71"/>
      <c r="B80" s="72"/>
      <c r="C80" s="72"/>
      <c r="D80" s="72"/>
      <c r="E80" s="72"/>
      <c r="F80" s="72"/>
      <c r="G80" s="72"/>
      <c r="H80" s="336"/>
      <c r="I80" s="336"/>
      <c r="J80" s="336"/>
      <c r="K80" s="345"/>
      <c r="L80" s="336"/>
      <c r="M80" s="336"/>
      <c r="N80" s="337"/>
      <c r="P80" s="71"/>
      <c r="Q80" s="72"/>
      <c r="R80" s="72"/>
      <c r="S80" s="72"/>
      <c r="T80" s="72"/>
      <c r="U80" s="72"/>
      <c r="V80" s="72"/>
      <c r="W80" s="72"/>
      <c r="X80" s="74"/>
      <c r="AH80" s="18"/>
    </row>
    <row r="81" spans="1:34" ht="15.75" thickBot="1">
      <c r="A81" s="2"/>
      <c r="B81" s="2"/>
      <c r="C81" s="2"/>
      <c r="D81" s="2"/>
      <c r="E81" s="2"/>
      <c r="F81" s="2"/>
      <c r="G81" s="2"/>
      <c r="H81" s="2"/>
      <c r="I81" s="2"/>
      <c r="J81" s="2"/>
      <c r="K81" s="94"/>
      <c r="L81" s="2"/>
      <c r="M81" s="2"/>
      <c r="N81" s="2"/>
      <c r="P81" s="2"/>
      <c r="Q81" s="2"/>
      <c r="R81" s="2"/>
      <c r="S81" s="2"/>
      <c r="T81" s="2"/>
      <c r="U81" s="2"/>
      <c r="V81" s="2"/>
      <c r="W81" s="2"/>
      <c r="X81" s="2"/>
      <c r="AH81" s="18"/>
    </row>
    <row r="82" spans="1:34" ht="16.5" thickBot="1">
      <c r="A82" s="95" t="s">
        <v>53</v>
      </c>
      <c r="B82" s="95"/>
      <c r="C82" s="96"/>
      <c r="D82" s="96"/>
      <c r="E82" s="96"/>
      <c r="F82" s="97"/>
      <c r="G82" s="96"/>
      <c r="H82" s="96"/>
      <c r="I82" s="96"/>
      <c r="J82" s="96"/>
      <c r="K82" s="96"/>
      <c r="L82" s="96"/>
      <c r="M82" s="96"/>
      <c r="N82" s="98"/>
      <c r="P82" s="2"/>
      <c r="Q82" s="2"/>
      <c r="R82" s="2"/>
      <c r="S82" s="2"/>
      <c r="T82" s="2"/>
      <c r="U82" s="2"/>
      <c r="V82" s="2"/>
      <c r="W82" s="2"/>
      <c r="X82" s="2"/>
      <c r="AH82" s="18"/>
    </row>
    <row r="83" spans="1:34">
      <c r="A83" s="62"/>
      <c r="B83" s="63"/>
      <c r="C83" s="63"/>
      <c r="D83" s="63"/>
      <c r="E83" s="63"/>
      <c r="F83" s="102" t="str">
        <f>IF(SelectScenario!G58="YES","Post purge is actived and required","Post purge is not actived and required")</f>
        <v>Post purge is not actived and required</v>
      </c>
      <c r="G83" s="63"/>
      <c r="H83" s="342"/>
      <c r="I83" s="342"/>
      <c r="J83" s="342"/>
      <c r="K83" s="347"/>
      <c r="L83" s="342"/>
      <c r="M83" s="342"/>
      <c r="N83" s="344"/>
      <c r="P83" s="2"/>
      <c r="Q83" s="2"/>
      <c r="R83" s="2"/>
      <c r="S83" s="2"/>
      <c r="T83" s="2"/>
      <c r="U83" s="2"/>
      <c r="V83" s="2"/>
      <c r="W83" s="2"/>
      <c r="X83" s="2"/>
      <c r="AH83" s="18"/>
    </row>
    <row r="84" spans="1:34">
      <c r="A84" s="65"/>
      <c r="B84" s="2"/>
      <c r="C84" s="2"/>
      <c r="D84" s="2"/>
      <c r="E84" s="2"/>
      <c r="F84" s="2"/>
      <c r="G84" s="2"/>
      <c r="H84" s="318"/>
      <c r="I84" s="318"/>
      <c r="J84" s="318"/>
      <c r="K84" s="339"/>
      <c r="L84" s="318"/>
      <c r="M84" s="318"/>
      <c r="N84" s="327"/>
      <c r="P84" s="2"/>
      <c r="Q84" s="2"/>
      <c r="R84" s="2"/>
      <c r="S84" s="2"/>
      <c r="T84" s="2"/>
      <c r="U84" s="2"/>
      <c r="V84" s="2"/>
      <c r="W84" s="2"/>
      <c r="X84" s="2"/>
      <c r="AH84" s="18"/>
    </row>
    <row r="85" spans="1:34">
      <c r="A85" s="125" t="s">
        <v>30</v>
      </c>
      <c r="B85" s="2"/>
      <c r="C85" s="2"/>
      <c r="D85" s="2"/>
      <c r="E85" s="2"/>
      <c r="F85" s="188" t="s">
        <v>199</v>
      </c>
      <c r="G85" s="2"/>
      <c r="H85" s="338" t="s">
        <v>30</v>
      </c>
      <c r="I85" s="318"/>
      <c r="J85" s="318"/>
      <c r="K85" s="318"/>
      <c r="L85" s="318"/>
      <c r="M85" s="321" t="s">
        <v>199</v>
      </c>
      <c r="N85" s="327"/>
      <c r="P85" s="2"/>
      <c r="Q85" s="2"/>
      <c r="R85" s="2"/>
      <c r="S85" s="2"/>
      <c r="T85" s="2"/>
      <c r="U85" s="2"/>
      <c r="V85" s="2"/>
      <c r="W85" s="2"/>
      <c r="X85" s="2"/>
      <c r="AH85" s="18"/>
    </row>
    <row r="86" spans="1:34">
      <c r="A86" s="191">
        <v>0</v>
      </c>
      <c r="B86" s="2" t="s">
        <v>117</v>
      </c>
      <c r="C86" s="2"/>
      <c r="D86" s="2"/>
      <c r="E86" s="8" t="str">
        <f>IF(AND($M$3="YES",A86&gt;3),"TF,OFF(tp/2) is required","TF,OFF(tp/2) is not required")</f>
        <v>TF,OFF(tp/2) is not required</v>
      </c>
      <c r="F86" s="197">
        <v>75</v>
      </c>
      <c r="G86" s="2" t="str">
        <f>IF(UNIT="SI-Unit","C-Degree","F-Degree")</f>
        <v>F-Degree</v>
      </c>
      <c r="H86" s="338">
        <v>0</v>
      </c>
      <c r="I86" s="318" t="s">
        <v>117</v>
      </c>
      <c r="J86" s="318"/>
      <c r="K86" s="318"/>
      <c r="L86" s="340" t="str">
        <f>IF(AND($M$3="YES",H86&gt;3),"TF,OFF(tp/2) is required","TF,OFF(tp/2) is not required")</f>
        <v>TF,OFF(tp/2) is not required</v>
      </c>
      <c r="M86" s="346">
        <v>150</v>
      </c>
      <c r="N86" s="327" t="str">
        <f>IF(UNIT="SI-Unit","C-Degree","F-Degree")</f>
        <v>F-Degree</v>
      </c>
      <c r="P86" s="2"/>
      <c r="Q86" s="2"/>
      <c r="R86" s="2"/>
      <c r="S86" s="2"/>
      <c r="T86" s="2"/>
      <c r="U86" s="2"/>
      <c r="V86" s="2"/>
      <c r="W86" s="2"/>
      <c r="X86" s="2"/>
      <c r="AH86" s="18"/>
    </row>
    <row r="87" spans="1:34">
      <c r="A87" s="125"/>
      <c r="B87" s="2"/>
      <c r="C87" s="2"/>
      <c r="D87" s="2"/>
      <c r="E87" s="8" t="str">
        <f>IF($M$3="YES","TF,OFF(tp) is required","TF,OFF(tp) is not required")</f>
        <v>TF,OFF(tp) is not required</v>
      </c>
      <c r="F87" s="197">
        <v>75</v>
      </c>
      <c r="G87" s="2" t="str">
        <f>IF(UNIT="SI-Unit","C-Degree","F-Degree")</f>
        <v>F-Degree</v>
      </c>
      <c r="H87" s="318"/>
      <c r="I87" s="318"/>
      <c r="J87" s="318"/>
      <c r="K87" s="318"/>
      <c r="L87" s="340" t="str">
        <f>IF($M$3="YES","TF,OFF(tp) is required","TF,OFF(tp) is not required")</f>
        <v>TF,OFF(tp) is not required</v>
      </c>
      <c r="M87" s="346">
        <v>130</v>
      </c>
      <c r="N87" s="327" t="str">
        <f>IF(UNIT="SI-Unit","C-Degree","F-Degree")</f>
        <v>F-Degree</v>
      </c>
      <c r="P87" s="2"/>
      <c r="Q87" s="2"/>
      <c r="R87" s="2"/>
      <c r="S87" s="2"/>
      <c r="T87" s="2"/>
      <c r="U87" s="2"/>
      <c r="V87" s="2"/>
      <c r="W87" s="2"/>
      <c r="X87" s="2"/>
      <c r="AH87" s="18"/>
    </row>
    <row r="88" spans="1:34">
      <c r="A88" s="125"/>
      <c r="B88" s="2"/>
      <c r="C88" s="2"/>
      <c r="D88" s="2"/>
      <c r="E88" s="8"/>
      <c r="F88" s="203"/>
      <c r="G88" s="2"/>
      <c r="H88" s="318"/>
      <c r="I88" s="318"/>
      <c r="J88" s="318"/>
      <c r="K88" s="318"/>
      <c r="L88" s="340"/>
      <c r="M88" s="346"/>
      <c r="N88" s="327"/>
      <c r="P88" s="2"/>
      <c r="Q88" s="2"/>
      <c r="R88" s="2"/>
      <c r="S88" s="2"/>
      <c r="T88" s="2"/>
      <c r="U88" s="2"/>
      <c r="V88" s="2"/>
      <c r="W88" s="2"/>
      <c r="X88" s="2"/>
      <c r="AH88" s="18"/>
    </row>
    <row r="89" spans="1:34" ht="16.5" thickBot="1">
      <c r="A89" s="71"/>
      <c r="B89" s="72"/>
      <c r="C89" s="72"/>
      <c r="D89" s="72"/>
      <c r="E89" s="72"/>
      <c r="F89" s="200"/>
      <c r="G89" s="72"/>
      <c r="H89" s="336"/>
      <c r="I89" s="336"/>
      <c r="J89" s="336"/>
      <c r="K89" s="336"/>
      <c r="L89" s="336"/>
      <c r="M89" s="336"/>
      <c r="N89" s="337"/>
      <c r="P89" s="2"/>
      <c r="Q89" s="2"/>
      <c r="R89" s="2"/>
      <c r="S89" s="2"/>
      <c r="T89" s="2"/>
      <c r="U89" s="2"/>
      <c r="V89" s="2"/>
      <c r="W89" s="2"/>
      <c r="X89" s="2"/>
      <c r="AH89" s="18"/>
    </row>
    <row r="90" spans="1:34" ht="15.75" thickBo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P90" s="2"/>
      <c r="Q90" s="2"/>
      <c r="R90" s="2"/>
      <c r="S90" s="2"/>
      <c r="T90" s="2"/>
      <c r="U90" s="2"/>
      <c r="V90" s="2"/>
      <c r="W90" s="2"/>
      <c r="X90" s="2"/>
      <c r="AH90" s="18"/>
    </row>
    <row r="91" spans="1:34" ht="16.5" thickBot="1">
      <c r="A91" s="99" t="s">
        <v>26</v>
      </c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1"/>
      <c r="P91" s="2"/>
      <c r="Q91" s="2"/>
      <c r="R91" s="2"/>
      <c r="S91" s="2"/>
      <c r="T91" s="2"/>
      <c r="U91" s="2"/>
      <c r="V91" s="2"/>
      <c r="W91" s="2"/>
      <c r="X91" s="2"/>
      <c r="AH91" s="18"/>
    </row>
    <row r="92" spans="1:34">
      <c r="A92" s="62"/>
      <c r="B92" s="63"/>
      <c r="C92" s="63"/>
      <c r="D92" s="63"/>
      <c r="E92" s="63"/>
      <c r="F92" s="102" t="s">
        <v>60</v>
      </c>
      <c r="G92" s="63"/>
      <c r="H92" s="342"/>
      <c r="I92" s="342"/>
      <c r="J92" s="342"/>
      <c r="K92" s="342"/>
      <c r="L92" s="342"/>
      <c r="M92" s="343" t="s">
        <v>58</v>
      </c>
      <c r="N92" s="344"/>
      <c r="P92" s="2"/>
      <c r="Q92" s="2"/>
      <c r="R92" s="2"/>
      <c r="S92" s="2"/>
      <c r="T92" s="2"/>
      <c r="U92" s="2"/>
      <c r="V92" s="2"/>
      <c r="W92" s="2"/>
      <c r="X92" s="2"/>
      <c r="AH92" s="18"/>
    </row>
    <row r="93" spans="1:34">
      <c r="A93" s="65"/>
      <c r="B93" s="2"/>
      <c r="C93" s="2"/>
      <c r="D93" s="2"/>
      <c r="E93" s="2"/>
      <c r="F93" s="88" t="str">
        <f>IF(SelectScenario!$G$6="Non-Modulating","(The maximum parameters are required@"&amp;SelectScenario!$G$6&amp;")",IF(SelectScenario!$G$6="Step-Modulating","The maximum parameters are not required@"&amp;SelectScenario!$G$6&amp;")","(The maximum parameters are required@"&amp;SelectScenario!$G$6&amp;")"))</f>
        <v>The maximum parameters are not required@Step-Modulating)</v>
      </c>
      <c r="G93" s="2"/>
      <c r="H93" s="318"/>
      <c r="I93" s="318"/>
      <c r="J93" s="318"/>
      <c r="K93" s="318"/>
      <c r="L93" s="318"/>
      <c r="M93" s="320" t="str">
        <f>IF(SelectScenario!$G$6="Non-Modulating","(The reduced parameters are not required@"&amp;SelectScenario!$G$6&amp;")",IF(SelectScenario!$G$6="Step-Modulating","The maximum parameters are required@"&amp;SelectScenario!$G$6&amp;")","(The maximum parameters are required@"&amp;SelectScenario!$G$6&amp;")"))</f>
        <v>The maximum parameters are required@Step-Modulating)</v>
      </c>
      <c r="N93" s="327"/>
      <c r="P93" s="2"/>
      <c r="Q93" s="2"/>
      <c r="R93" s="2"/>
      <c r="S93" s="2"/>
      <c r="T93" s="2"/>
      <c r="U93" s="2"/>
      <c r="V93" s="2"/>
      <c r="W93" s="2"/>
      <c r="X93" s="2"/>
      <c r="AH93" s="18"/>
    </row>
    <row r="94" spans="1:34">
      <c r="A94" s="65"/>
      <c r="B94" s="2"/>
      <c r="C94" s="2"/>
      <c r="D94" s="2"/>
      <c r="E94" s="2"/>
      <c r="F94" s="8"/>
      <c r="G94" s="2"/>
      <c r="H94" s="318"/>
      <c r="I94" s="318"/>
      <c r="J94" s="318"/>
      <c r="K94" s="318"/>
      <c r="L94" s="318"/>
      <c r="M94" s="318"/>
      <c r="N94" s="327"/>
      <c r="AH94" s="18"/>
    </row>
    <row r="95" spans="1:34">
      <c r="A95" s="65"/>
      <c r="B95" s="2"/>
      <c r="C95" s="2"/>
      <c r="D95" s="2"/>
      <c r="E95" s="2"/>
      <c r="F95" s="77" t="s">
        <v>61</v>
      </c>
      <c r="H95" s="318"/>
      <c r="I95" s="318"/>
      <c r="J95" s="318"/>
      <c r="K95" s="318"/>
      <c r="L95" s="318"/>
      <c r="M95" s="321" t="s">
        <v>61</v>
      </c>
      <c r="N95" s="327"/>
      <c r="AH95" s="18"/>
    </row>
    <row r="96" spans="1:34">
      <c r="A96" s="125" t="s">
        <v>120</v>
      </c>
      <c r="B96" s="2"/>
      <c r="C96" s="2"/>
      <c r="D96" s="2"/>
      <c r="E96" s="81"/>
      <c r="F96" s="14">
        <v>92.63</v>
      </c>
      <c r="G96" s="2"/>
      <c r="H96" s="338" t="s">
        <v>120</v>
      </c>
      <c r="I96" s="318"/>
      <c r="J96" s="318"/>
      <c r="K96" s="318"/>
      <c r="L96" s="321"/>
      <c r="M96" s="323">
        <v>0</v>
      </c>
      <c r="N96" s="327"/>
      <c r="AH96" s="18"/>
    </row>
    <row r="97" spans="1:34">
      <c r="A97" s="191">
        <v>0.5</v>
      </c>
      <c r="B97" t="s">
        <v>117</v>
      </c>
      <c r="C97" s="2"/>
      <c r="D97" s="2"/>
      <c r="E97" s="81" t="str">
        <f>"Note: t1=0.5min after a burner comes on"</f>
        <v>Note: t1=0.5min after a burner comes on</v>
      </c>
      <c r="F97" s="61">
        <f>IF(F96&gt;F33,F33-0.2,IF(F96&gt;F101, F100-0.1,F96))</f>
        <v>92.63</v>
      </c>
      <c r="G97" s="2" t="str">
        <f>IF(UNIT="SI-Unit","C-Degree","F-Degree")</f>
        <v>F-Degree</v>
      </c>
      <c r="H97" s="338">
        <v>0.5</v>
      </c>
      <c r="I97" s="318" t="s">
        <v>117</v>
      </c>
      <c r="J97" s="318"/>
      <c r="K97" s="318"/>
      <c r="L97" s="321" t="str">
        <f>"Note: t1=0.5min after a burner comes on"</f>
        <v>Note: t1=0.5min after a burner comes on</v>
      </c>
      <c r="M97" s="324">
        <f>IF(M96&gt;M33,M33-0.2,IF(M96&gt;M101, M100-0.1,M96))</f>
        <v>0</v>
      </c>
      <c r="N97" s="327" t="str">
        <f>IF(UNIT="SI-Unit","C-Degree","F-Degree")</f>
        <v>F-Degree</v>
      </c>
      <c r="AH97" s="18"/>
    </row>
    <row r="98" spans="1:34">
      <c r="A98" s="125"/>
      <c r="B98" s="2"/>
      <c r="C98" s="2"/>
      <c r="D98" s="2"/>
      <c r="E98" s="2"/>
      <c r="F98" s="2"/>
      <c r="G98" s="2"/>
      <c r="H98" s="338"/>
      <c r="I98" s="318"/>
      <c r="J98" s="318"/>
      <c r="K98" s="318"/>
      <c r="L98" s="318"/>
      <c r="M98" s="318"/>
      <c r="N98" s="327"/>
      <c r="AH98" s="18"/>
    </row>
    <row r="99" spans="1:34">
      <c r="A99" s="125" t="s">
        <v>121</v>
      </c>
      <c r="B99" s="2"/>
      <c r="C99" s="2"/>
      <c r="D99" s="2"/>
      <c r="E99" s="2"/>
      <c r="F99" s="77" t="s">
        <v>62</v>
      </c>
      <c r="G99" s="2"/>
      <c r="H99" s="338" t="s">
        <v>121</v>
      </c>
      <c r="I99" s="318"/>
      <c r="J99" s="318"/>
      <c r="K99" s="318"/>
      <c r="L99" s="318"/>
      <c r="M99" s="321" t="s">
        <v>62</v>
      </c>
      <c r="N99" s="327"/>
      <c r="AH99" s="18"/>
    </row>
    <row r="100" spans="1:34">
      <c r="A100" s="191">
        <f>2.5</f>
        <v>2.5</v>
      </c>
      <c r="B100" s="2" t="s">
        <v>117</v>
      </c>
      <c r="C100" s="2"/>
      <c r="D100" s="2"/>
      <c r="E100" s="81"/>
      <c r="F100" s="14">
        <v>93.48</v>
      </c>
      <c r="G100" s="2"/>
      <c r="H100" s="338">
        <f>2.5</f>
        <v>2.5</v>
      </c>
      <c r="I100" s="318" t="s">
        <v>117</v>
      </c>
      <c r="J100" s="318"/>
      <c r="K100" s="318"/>
      <c r="L100" s="321"/>
      <c r="M100" s="323">
        <v>0</v>
      </c>
      <c r="N100" s="327"/>
      <c r="AH100" s="18"/>
    </row>
    <row r="101" spans="1:34">
      <c r="A101" s="65"/>
      <c r="B101" s="2"/>
      <c r="C101" s="2"/>
      <c r="D101" s="2"/>
      <c r="E101" s="81" t="str">
        <f>"Note: t2=2.5min after a burner comes on"</f>
        <v>Note: t2=2.5min after a burner comes on</v>
      </c>
      <c r="F101" s="61">
        <f>IF(F100&gt;F33,F33-0.1,F100)</f>
        <v>93.48</v>
      </c>
      <c r="G101" s="2" t="str">
        <f>IF(UNIT="SI-Unit","C-Degree","F-Degree")</f>
        <v>F-Degree</v>
      </c>
      <c r="H101" s="318"/>
      <c r="I101" s="318"/>
      <c r="J101" s="318"/>
      <c r="K101" s="318"/>
      <c r="L101" s="321" t="str">
        <f>"Note: t2=2.5min after a burner comes on"</f>
        <v>Note: t2=2.5min after a burner comes on</v>
      </c>
      <c r="M101" s="324">
        <f>IF(M100&gt;M33,M33-0.1,M100)</f>
        <v>0</v>
      </c>
      <c r="N101" s="327" t="str">
        <f>IF(UNIT="SI-Unit","C-Degree","F-Degree")</f>
        <v>F-Degree</v>
      </c>
      <c r="AH101" s="18"/>
    </row>
    <row r="102" spans="1:34" ht="15.75" thickBot="1">
      <c r="A102" s="71"/>
      <c r="B102" s="72"/>
      <c r="C102" s="72"/>
      <c r="D102" s="72"/>
      <c r="E102" s="72"/>
      <c r="F102" s="73"/>
      <c r="G102" s="72"/>
      <c r="H102" s="336"/>
      <c r="I102" s="336"/>
      <c r="J102" s="336"/>
      <c r="K102" s="336"/>
      <c r="L102" s="336"/>
      <c r="M102" s="336"/>
      <c r="N102" s="337"/>
      <c r="AH102" s="18"/>
    </row>
    <row r="103" spans="1:34" ht="15.75" thickBot="1">
      <c r="A103" s="65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AH103" s="18"/>
    </row>
    <row r="104" spans="1:34" ht="15.75" thickBot="1">
      <c r="A104" s="139" t="s">
        <v>239</v>
      </c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75"/>
      <c r="AH104" s="18"/>
    </row>
    <row r="105" spans="1:34">
      <c r="A105" s="62"/>
      <c r="B105" s="63"/>
      <c r="C105" s="75"/>
      <c r="D105" s="63"/>
      <c r="E105" s="63"/>
      <c r="F105" s="253" t="s">
        <v>238</v>
      </c>
      <c r="G105" s="63"/>
      <c r="H105" s="342"/>
      <c r="I105" s="342"/>
      <c r="J105" s="342"/>
      <c r="K105" s="342"/>
      <c r="L105" s="342"/>
      <c r="M105" s="349" t="s">
        <v>340</v>
      </c>
      <c r="N105" s="350"/>
      <c r="O105" s="1"/>
      <c r="T105" s="6"/>
      <c r="AH105" s="18"/>
    </row>
    <row r="106" spans="1:34">
      <c r="A106" s="65"/>
      <c r="B106" s="2"/>
      <c r="C106" s="2"/>
      <c r="D106" s="2"/>
      <c r="E106" s="11" t="s">
        <v>16</v>
      </c>
      <c r="F106" s="14">
        <v>2.0710000000000002</v>
      </c>
      <c r="G106" s="15" t="str">
        <f>IF(UNIT="SI-Unit","KG","LB")</f>
        <v>LB</v>
      </c>
      <c r="H106" s="318"/>
      <c r="I106" s="318"/>
      <c r="J106" s="318"/>
      <c r="K106" s="318"/>
      <c r="L106" s="322" t="s">
        <v>16</v>
      </c>
      <c r="M106" s="323">
        <v>0</v>
      </c>
      <c r="N106" s="330" t="str">
        <f>IF(UNIT="SI-Unit","KG","LB")</f>
        <v>LB</v>
      </c>
      <c r="O106" s="1"/>
      <c r="AH106" s="18"/>
    </row>
    <row r="107" spans="1:34">
      <c r="A107" s="65"/>
      <c r="B107" s="2"/>
      <c r="C107" s="2"/>
      <c r="D107" s="2"/>
      <c r="E107" s="11" t="s">
        <v>15</v>
      </c>
      <c r="F107" s="61">
        <f>F106</f>
        <v>2.0710000000000002</v>
      </c>
      <c r="G107" s="15" t="str">
        <f>IF(UNIT="SI-Unit","KG","LB")</f>
        <v>LB</v>
      </c>
      <c r="H107" s="318"/>
      <c r="I107" s="318"/>
      <c r="J107" s="318"/>
      <c r="K107" s="318"/>
      <c r="L107" s="322" t="s">
        <v>15</v>
      </c>
      <c r="M107" s="324">
        <f>IF(SelectScenario!$G$6="Non-Modulating",0,M106)</f>
        <v>0</v>
      </c>
      <c r="N107" s="330" t="str">
        <f>IF(UNIT="SI-Unit","KG","LB")</f>
        <v>LB</v>
      </c>
      <c r="O107" s="1"/>
      <c r="AH107" s="18"/>
    </row>
    <row r="108" spans="1:34">
      <c r="A108" s="65"/>
      <c r="B108" s="2"/>
      <c r="C108" s="2"/>
      <c r="D108" s="2"/>
      <c r="E108" s="2"/>
      <c r="F108" s="81"/>
      <c r="G108" s="15"/>
      <c r="H108" s="318"/>
      <c r="I108" s="318"/>
      <c r="J108" s="318"/>
      <c r="K108" s="318"/>
      <c r="L108" s="318"/>
      <c r="M108" s="318"/>
      <c r="N108" s="330"/>
      <c r="O108" s="1"/>
      <c r="AH108" s="18"/>
    </row>
    <row r="109" spans="1:34">
      <c r="A109" s="65"/>
      <c r="B109" s="2"/>
      <c r="C109" s="2"/>
      <c r="D109" s="2"/>
      <c r="E109" s="2"/>
      <c r="F109" s="77" t="s">
        <v>237</v>
      </c>
      <c r="G109" s="15"/>
      <c r="H109" s="318"/>
      <c r="I109" s="318"/>
      <c r="J109" s="318"/>
      <c r="K109" s="318"/>
      <c r="L109" s="318"/>
      <c r="M109" s="348" t="s">
        <v>366</v>
      </c>
      <c r="N109" s="331"/>
      <c r="AH109" s="18"/>
    </row>
    <row r="110" spans="1:34">
      <c r="A110" s="65"/>
      <c r="B110" s="2"/>
      <c r="C110" s="2"/>
      <c r="D110" s="2"/>
      <c r="E110" s="11" t="s">
        <v>16</v>
      </c>
      <c r="F110" s="14">
        <f>3.031+0*4.077</f>
        <v>3.0310000000000001</v>
      </c>
      <c r="G110" s="15" t="str">
        <f>IF(UNIT="SI-Unit","KG","LB")</f>
        <v>LB</v>
      </c>
      <c r="H110" s="318"/>
      <c r="I110" s="318"/>
      <c r="J110" s="318"/>
      <c r="K110" s="318"/>
      <c r="L110" s="318"/>
      <c r="M110" s="322" t="str">
        <f>IF(DATAINPUTcnm!$G$5="(Condensing","Note: Measured condensate is required)","(Note: Measured condensate is not required)")</f>
        <v>(Note: Measured condensate is not required)</v>
      </c>
      <c r="N110" s="331"/>
      <c r="AH110" s="18"/>
    </row>
    <row r="111" spans="1:34">
      <c r="A111" s="65"/>
      <c r="B111" s="2"/>
      <c r="C111" s="2"/>
      <c r="D111" s="2"/>
      <c r="E111" s="11" t="s">
        <v>15</v>
      </c>
      <c r="F111" s="61">
        <f>IF(SelectScenario!$G$4="Condensing",DATAINPUTcnm!F110,0)</f>
        <v>3.0310000000000001</v>
      </c>
      <c r="G111" s="15" t="str">
        <f>IF(UNIT="SI-Unit","KG","LB")</f>
        <v>LB</v>
      </c>
      <c r="H111" s="318"/>
      <c r="I111" s="318"/>
      <c r="J111" s="318"/>
      <c r="K111" s="318"/>
      <c r="L111" s="322" t="s">
        <v>16</v>
      </c>
      <c r="M111" s="323">
        <v>0</v>
      </c>
      <c r="N111" s="330" t="str">
        <f>IF(UNIT="SI-Unit","KG","LB")</f>
        <v>LB</v>
      </c>
      <c r="AH111" s="18"/>
    </row>
    <row r="112" spans="1:34">
      <c r="A112" s="65"/>
      <c r="B112" s="2"/>
      <c r="C112" s="2"/>
      <c r="D112" s="2"/>
      <c r="E112" s="2"/>
      <c r="F112" s="2"/>
      <c r="H112" s="318"/>
      <c r="I112" s="318"/>
      <c r="J112" s="318"/>
      <c r="K112" s="318"/>
      <c r="L112" s="322" t="s">
        <v>15</v>
      </c>
      <c r="M112" s="324">
        <f>IF(SelectScenario!$G$6="Non-Modulating",0,M111)</f>
        <v>0</v>
      </c>
      <c r="N112" s="330" t="str">
        <f>IF(UNIT="SI-Unit","KG","LB")</f>
        <v>LB</v>
      </c>
      <c r="AH112" s="18"/>
    </row>
    <row r="113" spans="1:34">
      <c r="A113" s="65"/>
      <c r="B113" s="2"/>
      <c r="C113" s="2"/>
      <c r="D113" s="2"/>
      <c r="E113" s="2"/>
      <c r="F113" s="77" t="s">
        <v>249</v>
      </c>
      <c r="G113" s="2"/>
      <c r="H113" s="318"/>
      <c r="I113" s="318"/>
      <c r="J113" s="318"/>
      <c r="K113" s="318"/>
      <c r="L113" s="318"/>
      <c r="M113" s="318"/>
      <c r="N113" s="327"/>
      <c r="AH113" s="18"/>
    </row>
    <row r="114" spans="1:34">
      <c r="A114" s="65"/>
      <c r="B114" s="2"/>
      <c r="C114" s="2"/>
      <c r="D114" s="2"/>
      <c r="E114" s="2"/>
      <c r="F114" s="11" t="str">
        <f>"(Note: Measured condensate is required)"</f>
        <v>(Note: Measured condensate is required)</v>
      </c>
      <c r="G114" s="2"/>
      <c r="H114" s="318"/>
      <c r="I114" s="318"/>
      <c r="J114" s="318"/>
      <c r="K114" s="318"/>
      <c r="L114" s="318"/>
      <c r="M114" s="348" t="s">
        <v>367</v>
      </c>
      <c r="N114" s="328"/>
      <c r="AH114" s="18"/>
    </row>
    <row r="115" spans="1:34">
      <c r="A115" s="65"/>
      <c r="B115" s="2"/>
      <c r="C115" s="2"/>
      <c r="D115" s="2"/>
      <c r="E115" s="11" t="s">
        <v>16</v>
      </c>
      <c r="F115" s="14">
        <f>0.699</f>
        <v>0.69899999999999995</v>
      </c>
      <c r="G115" s="15" t="str">
        <f>IF(UNIT="SI-Unit","KG","LB")</f>
        <v>LB</v>
      </c>
      <c r="H115" s="318"/>
      <c r="I115" s="318"/>
      <c r="J115" s="318"/>
      <c r="K115" s="318"/>
      <c r="L115" s="322" t="s">
        <v>16</v>
      </c>
      <c r="M115" s="323">
        <v>0</v>
      </c>
      <c r="N115" s="330" t="str">
        <f>IF(UNIT="SI-Unit","KG","LB")</f>
        <v>LB</v>
      </c>
      <c r="AH115" s="18"/>
    </row>
    <row r="116" spans="1:34">
      <c r="A116" s="65"/>
      <c r="B116" s="2"/>
      <c r="C116" s="2"/>
      <c r="D116" s="2"/>
      <c r="E116" s="11" t="s">
        <v>15</v>
      </c>
      <c r="F116" s="61">
        <f>F115</f>
        <v>0.69899999999999995</v>
      </c>
      <c r="G116" s="15" t="str">
        <f>IF(UNIT="SI-Unit","KG","LB")</f>
        <v>LB</v>
      </c>
      <c r="H116" s="318"/>
      <c r="I116" s="318"/>
      <c r="J116" s="318"/>
      <c r="K116" s="318"/>
      <c r="L116" s="322" t="s">
        <v>15</v>
      </c>
      <c r="M116" s="324">
        <f>IF(SelectScenario!$G$6="Non-Modulating",0,M115)</f>
        <v>0</v>
      </c>
      <c r="N116" s="330" t="str">
        <f>IF(UNIT="SI-Unit","KG","LB")</f>
        <v>LB</v>
      </c>
      <c r="AH116" s="18"/>
    </row>
    <row r="117" spans="1:34">
      <c r="A117" s="65"/>
      <c r="B117" s="2"/>
      <c r="C117" s="8"/>
      <c r="D117" s="2"/>
      <c r="E117" s="2"/>
      <c r="F117" s="81"/>
      <c r="G117" s="15"/>
      <c r="H117" s="318"/>
      <c r="I117" s="318"/>
      <c r="J117" s="318"/>
      <c r="K117" s="318"/>
      <c r="L117" s="318"/>
      <c r="M117" s="318"/>
      <c r="N117" s="330"/>
      <c r="AH117" s="18"/>
    </row>
    <row r="118" spans="1:34">
      <c r="A118" s="65"/>
      <c r="B118" s="2"/>
      <c r="C118" s="2"/>
      <c r="D118" s="2"/>
      <c r="E118" s="2"/>
      <c r="F118" s="77" t="s">
        <v>248</v>
      </c>
      <c r="G118" s="15"/>
      <c r="H118" s="318"/>
      <c r="I118" s="318"/>
      <c r="J118" s="318"/>
      <c r="K118" s="318"/>
      <c r="L118" s="318"/>
      <c r="M118" s="348" t="s">
        <v>368</v>
      </c>
      <c r="N118" s="331"/>
      <c r="AH118" s="18"/>
    </row>
    <row r="119" spans="1:34">
      <c r="A119" s="65"/>
      <c r="B119" s="2"/>
      <c r="C119" s="2"/>
      <c r="D119" s="2"/>
      <c r="E119" s="2"/>
      <c r="F119" s="11" t="str">
        <f>"(Note: Measured condensate is required)"</f>
        <v>(Note: Measured condensate is required)</v>
      </c>
      <c r="G119" s="15"/>
      <c r="H119" s="318"/>
      <c r="I119" s="318"/>
      <c r="J119" s="318"/>
      <c r="K119" s="318"/>
      <c r="L119" s="318"/>
      <c r="M119" s="322" t="str">
        <f>IF(DATAINPUTcnm!$G$5="(Condensing","Note: Measured condensate is required)","(Note: Measured condensate is not required)")</f>
        <v>(Note: Measured condensate is not required)</v>
      </c>
      <c r="N119" s="331"/>
      <c r="AH119" s="18"/>
    </row>
    <row r="120" spans="1:34">
      <c r="A120" s="65"/>
      <c r="B120" s="8"/>
      <c r="C120" s="8"/>
      <c r="D120" s="2"/>
      <c r="E120" s="11" t="s">
        <v>16</v>
      </c>
      <c r="F120" s="14">
        <v>0.96299999999999997</v>
      </c>
      <c r="G120" s="15" t="str">
        <f>IF(UNIT="SI-Unit","KG","LB")</f>
        <v>LB</v>
      </c>
      <c r="H120" s="318"/>
      <c r="I120" s="340"/>
      <c r="J120" s="340"/>
      <c r="K120" s="318"/>
      <c r="L120" s="322" t="s">
        <v>16</v>
      </c>
      <c r="M120" s="323">
        <v>0</v>
      </c>
      <c r="N120" s="330" t="str">
        <f>IF(UNIT="SI-Unit","KG","LB")</f>
        <v>LB</v>
      </c>
      <c r="AH120" s="18"/>
    </row>
    <row r="121" spans="1:34">
      <c r="A121" s="65"/>
      <c r="B121" s="8"/>
      <c r="C121" s="8"/>
      <c r="D121" s="2"/>
      <c r="E121" s="11" t="s">
        <v>15</v>
      </c>
      <c r="F121" s="61">
        <f>IF(SelectScenario!$G$4="Condensing",DATAINPUTcnm!F120,0)</f>
        <v>0.96299999999999997</v>
      </c>
      <c r="G121" s="15" t="str">
        <f>IF(UNIT="SI-Unit","KG","LB")</f>
        <v>LB</v>
      </c>
      <c r="H121" s="318"/>
      <c r="I121" s="340"/>
      <c r="J121" s="340"/>
      <c r="K121" s="318"/>
      <c r="L121" s="322" t="s">
        <v>15</v>
      </c>
      <c r="M121" s="324">
        <f>IF(SelectScenario!$G$6="Non-Modulating",0,M120)</f>
        <v>0</v>
      </c>
      <c r="N121" s="330" t="str">
        <f>IF(UNIT="SI-Unit","KG","LB")</f>
        <v>LB</v>
      </c>
      <c r="AH121" s="18"/>
    </row>
    <row r="122" spans="1:34" ht="15.75" thickBot="1">
      <c r="A122" s="71"/>
      <c r="B122" s="72"/>
      <c r="C122" s="72"/>
      <c r="D122" s="72"/>
      <c r="E122" s="72"/>
      <c r="F122" s="72"/>
      <c r="G122" s="72"/>
      <c r="H122" s="336"/>
      <c r="I122" s="336"/>
      <c r="J122" s="336"/>
      <c r="K122" s="336"/>
      <c r="L122" s="336"/>
      <c r="M122" s="336"/>
      <c r="N122" s="337"/>
      <c r="AH122" s="18"/>
    </row>
    <row r="123" spans="1:34">
      <c r="AH123" s="18"/>
    </row>
    <row r="124" spans="1:34">
      <c r="AH124" s="18"/>
    </row>
    <row r="125" spans="1:34">
      <c r="AH125" s="18"/>
    </row>
    <row r="126" spans="1:34">
      <c r="AH126" s="18"/>
    </row>
    <row r="127" spans="1:34">
      <c r="AH127" s="18"/>
    </row>
    <row r="128" spans="1:34">
      <c r="AH128" s="18"/>
    </row>
    <row r="129" spans="34:34">
      <c r="AH129" s="18"/>
    </row>
    <row r="130" spans="34:34">
      <c r="AH130" s="18"/>
    </row>
    <row r="131" spans="34:34">
      <c r="AH131" s="18"/>
    </row>
    <row r="132" spans="34:34">
      <c r="AH132" s="18"/>
    </row>
    <row r="133" spans="34:34">
      <c r="AH133" s="18"/>
    </row>
    <row r="134" spans="34:34">
      <c r="AH134" s="18"/>
    </row>
    <row r="135" spans="34:34">
      <c r="AH135" s="18"/>
    </row>
    <row r="136" spans="34:34">
      <c r="AH136" s="18"/>
    </row>
    <row r="137" spans="34:34">
      <c r="AH137" s="18"/>
    </row>
    <row r="138" spans="34:34">
      <c r="AH138" s="18"/>
    </row>
    <row r="139" spans="34:34">
      <c r="AH139" s="18"/>
    </row>
    <row r="140" spans="34:34">
      <c r="AH140" s="18"/>
    </row>
    <row r="141" spans="34:34">
      <c r="AH141" s="18"/>
    </row>
    <row r="142" spans="34:34">
      <c r="AH142" s="18"/>
    </row>
    <row r="143" spans="34:34">
      <c r="AH143" s="18"/>
    </row>
    <row r="144" spans="34:34">
      <c r="AH144" s="18"/>
    </row>
    <row r="145" spans="34:34">
      <c r="AH145" s="18"/>
    </row>
    <row r="146" spans="34:34">
      <c r="AH146" s="18"/>
    </row>
    <row r="147" spans="34:34">
      <c r="AH147" s="18"/>
    </row>
    <row r="148" spans="34:34">
      <c r="AH148" s="18"/>
    </row>
    <row r="149" spans="34:34">
      <c r="AH149" s="18"/>
    </row>
    <row r="150" spans="34:34">
      <c r="AH150" s="18"/>
    </row>
    <row r="151" spans="34:34">
      <c r="AH151" s="18"/>
    </row>
    <row r="152" spans="34:34">
      <c r="AH152" s="18"/>
    </row>
    <row r="153" spans="34:34">
      <c r="AH153" s="18"/>
    </row>
    <row r="154" spans="34:34">
      <c r="AH154" s="18"/>
    </row>
    <row r="155" spans="34:34">
      <c r="AH155" s="18"/>
    </row>
    <row r="156" spans="34:34">
      <c r="AH156" s="18"/>
    </row>
    <row r="157" spans="34:34">
      <c r="AH157" s="18"/>
    </row>
    <row r="158" spans="34:34">
      <c r="AH158" s="18"/>
    </row>
    <row r="159" spans="34:34">
      <c r="AH159" s="18"/>
    </row>
    <row r="160" spans="34:34">
      <c r="AH160" s="18"/>
    </row>
    <row r="161" spans="34:34">
      <c r="AH161" s="18"/>
    </row>
    <row r="162" spans="34:34">
      <c r="AH162" s="18"/>
    </row>
    <row r="163" spans="34:34">
      <c r="AH163" s="18"/>
    </row>
    <row r="164" spans="34:34">
      <c r="AH164" s="18"/>
    </row>
    <row r="165" spans="34:34">
      <c r="AH165" s="18"/>
    </row>
    <row r="166" spans="34:34">
      <c r="AH166" s="18"/>
    </row>
    <row r="167" spans="34:34">
      <c r="AH167" s="18"/>
    </row>
    <row r="168" spans="34:34">
      <c r="AH168" s="18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A244EA-F18A-400E-992A-756010DB0D7E}">
          <x14:formula1>
            <xm:f>Others!$A$14:$A$17</xm:f>
          </x14:formula1>
          <xm:sqref>S75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9CC1D-4CE0-49A0-A25D-17250BF2D159}">
  <sheetPr codeName="Sheet8">
    <tabColor rgb="FFFF0000"/>
  </sheetPr>
  <dimension ref="A1:Y82"/>
  <sheetViews>
    <sheetView zoomScale="108" zoomScaleNormal="108" workbookViewId="0">
      <selection activeCell="I75" sqref="I75"/>
    </sheetView>
  </sheetViews>
  <sheetFormatPr defaultRowHeight="12"/>
  <cols>
    <col min="1" max="1" width="13.28515625" style="106" customWidth="1"/>
    <col min="2" max="7" width="9.140625" style="106"/>
    <col min="8" max="8" width="9.140625" style="106" customWidth="1"/>
    <col min="9" max="9" width="10.85546875" style="106" bestFit="1" customWidth="1"/>
    <col min="10" max="22" width="9.140625" style="106"/>
    <col min="23" max="23" width="9.5703125" style="106" bestFit="1" customWidth="1"/>
    <col min="24" max="16384" width="9.140625" style="106"/>
  </cols>
  <sheetData>
    <row r="1" spans="1:21" ht="12.75" thickBot="1">
      <c r="A1" s="231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3"/>
    </row>
    <row r="2" spans="1:21" ht="12.75" thickBot="1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7"/>
    </row>
    <row r="3" spans="1:21">
      <c r="A3" s="155"/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7"/>
      <c r="Q3" s="15"/>
      <c r="R3" s="15"/>
      <c r="S3" s="15"/>
      <c r="T3" s="15"/>
      <c r="U3" s="131"/>
    </row>
    <row r="4" spans="1:21">
      <c r="A4" s="158"/>
      <c r="B4" s="15"/>
      <c r="C4" s="15"/>
      <c r="D4" s="15"/>
      <c r="E4" s="159" t="str">
        <f>SelectScenario!F7</f>
        <v xml:space="preserve">Selected Unit: </v>
      </c>
      <c r="F4" s="160" t="str">
        <f>SelectScenario!G7</f>
        <v>Condensing, Step-ModulatingNG Furnace</v>
      </c>
      <c r="H4" s="160"/>
      <c r="I4" s="160"/>
      <c r="J4" s="160"/>
      <c r="K4" s="160"/>
      <c r="L4" s="160" t="s">
        <v>55</v>
      </c>
      <c r="M4" s="160"/>
      <c r="N4" s="160"/>
      <c r="O4" s="15"/>
      <c r="P4" s="131"/>
      <c r="Q4" s="15"/>
      <c r="R4" s="15"/>
      <c r="S4" s="15"/>
      <c r="T4" s="15"/>
      <c r="U4" s="131"/>
    </row>
    <row r="5" spans="1:21">
      <c r="A5" s="158"/>
      <c r="B5" s="15"/>
      <c r="C5" s="15"/>
      <c r="D5" s="15"/>
      <c r="E5" s="11" t="str">
        <f>SelectScenario!F5</f>
        <v>Select NG Furnace System Scenario</v>
      </c>
      <c r="F5" s="69">
        <f>SelectScenario!G5</f>
        <v>3</v>
      </c>
      <c r="G5" s="15"/>
      <c r="H5" s="160"/>
      <c r="I5" s="160"/>
      <c r="J5" s="160"/>
      <c r="K5" s="160"/>
      <c r="L5" s="11" t="str">
        <f>SelectScenario!F58</f>
        <v>Post Purge</v>
      </c>
      <c r="M5" s="69" t="str">
        <f>SelectScenario!G58</f>
        <v>NO</v>
      </c>
      <c r="N5" s="160"/>
      <c r="O5" s="15"/>
      <c r="P5" s="131"/>
      <c r="Q5" s="15"/>
      <c r="R5" s="15"/>
      <c r="S5" s="15"/>
      <c r="T5" s="15"/>
      <c r="U5" s="131"/>
    </row>
    <row r="6" spans="1:21">
      <c r="A6" s="158"/>
      <c r="B6" s="15"/>
      <c r="C6" s="15"/>
      <c r="D6" s="15"/>
      <c r="E6" s="11" t="str">
        <f>SelectScenario!F10</f>
        <v>Indoor Combustion Air</v>
      </c>
      <c r="F6" s="69" t="str">
        <f>SelectScenario!G10</f>
        <v>YES</v>
      </c>
      <c r="G6" s="15"/>
      <c r="H6" s="69"/>
      <c r="I6" s="69"/>
      <c r="J6" s="69"/>
      <c r="K6" s="69"/>
      <c r="L6" s="11" t="str">
        <f>SelectScenario!F59</f>
        <v>Pilot Light</v>
      </c>
      <c r="M6" s="69" t="str">
        <f>SelectScenario!G59</f>
        <v>NO</v>
      </c>
      <c r="N6" s="69"/>
      <c r="O6" s="15"/>
      <c r="P6" s="131"/>
      <c r="Q6" s="15"/>
      <c r="R6" s="15"/>
      <c r="S6" s="15"/>
      <c r="T6" s="15"/>
      <c r="U6" s="131"/>
    </row>
    <row r="7" spans="1:21">
      <c r="A7" s="158"/>
      <c r="B7" s="15"/>
      <c r="C7" s="15"/>
      <c r="D7" s="15"/>
      <c r="E7" s="11" t="str">
        <f>SelectScenario!F11</f>
        <v>Outdoor, Direct Vent or isolated Combustion System</v>
      </c>
      <c r="F7" s="69" t="str">
        <f>SelectScenario!G11</f>
        <v>NO</v>
      </c>
      <c r="G7" s="15"/>
      <c r="H7" s="69"/>
      <c r="I7" s="69"/>
      <c r="J7" s="69"/>
      <c r="K7" s="69"/>
      <c r="L7" s="11" t="str">
        <f>SelectScenario!F60</f>
        <v>Unit</v>
      </c>
      <c r="M7" s="69" t="str">
        <f>SelectScenario!G60</f>
        <v>British-Unit</v>
      </c>
      <c r="N7" s="69"/>
      <c r="O7" s="15"/>
      <c r="P7" s="131"/>
      <c r="Q7" s="15"/>
      <c r="R7" s="15"/>
      <c r="S7" s="15"/>
      <c r="T7" s="15"/>
      <c r="U7" s="131"/>
    </row>
    <row r="8" spans="1:21" ht="12.75" thickBot="1">
      <c r="A8" s="158"/>
      <c r="B8" s="15"/>
      <c r="C8" s="15"/>
      <c r="D8" s="15"/>
      <c r="E8" s="11" t="str">
        <f>SelectScenario!F12</f>
        <v>Direct Exhaust</v>
      </c>
      <c r="F8" s="69" t="str">
        <f>SelectScenario!G12</f>
        <v>NO</v>
      </c>
      <c r="G8" s="15"/>
      <c r="H8" s="69"/>
      <c r="I8" s="69"/>
      <c r="J8" s="69"/>
      <c r="K8" s="69"/>
      <c r="L8" s="69"/>
      <c r="M8" s="69"/>
      <c r="N8" s="69"/>
      <c r="O8" s="15"/>
      <c r="P8" s="131"/>
      <c r="Q8" s="15"/>
      <c r="R8" s="15"/>
      <c r="S8" s="15"/>
      <c r="T8" s="15"/>
      <c r="U8" s="131"/>
    </row>
    <row r="9" spans="1:21">
      <c r="A9" s="158"/>
      <c r="B9" s="15"/>
      <c r="C9" s="15"/>
      <c r="D9" s="15"/>
      <c r="E9" s="11" t="str">
        <f>SelectScenario!F13</f>
        <v>Draft Hood or Draft Diverter</v>
      </c>
      <c r="F9" s="69" t="str">
        <f>SelectScenario!G13</f>
        <v>YES</v>
      </c>
      <c r="G9" s="244" t="s">
        <v>146</v>
      </c>
      <c r="H9" s="245"/>
      <c r="I9" s="245"/>
      <c r="J9" s="245"/>
      <c r="K9" s="245"/>
      <c r="L9" s="361"/>
      <c r="M9" s="245"/>
      <c r="N9" s="245"/>
      <c r="O9" s="157"/>
      <c r="P9" s="131"/>
      <c r="Q9" s="15"/>
      <c r="R9" s="15"/>
      <c r="S9" s="15"/>
      <c r="T9" s="15"/>
      <c r="U9" s="131"/>
    </row>
    <row r="10" spans="1:21">
      <c r="A10" s="158"/>
      <c r="B10" s="15"/>
      <c r="C10" s="15"/>
      <c r="D10" s="15"/>
      <c r="E10" s="11" t="str">
        <f>SelectScenario!F14</f>
        <v>Barometric Draft</v>
      </c>
      <c r="F10" s="69" t="str">
        <f>SelectScenario!G14</f>
        <v>NO</v>
      </c>
      <c r="G10" s="353" t="s">
        <v>206</v>
      </c>
      <c r="H10" s="352">
        <f>I80</f>
        <v>95.739397482651725</v>
      </c>
      <c r="I10" s="243" t="s">
        <v>93</v>
      </c>
      <c r="J10" s="69"/>
      <c r="K10" s="69"/>
      <c r="L10" s="15"/>
      <c r="M10" s="69"/>
      <c r="N10" s="69"/>
      <c r="O10" s="131"/>
      <c r="P10" s="131"/>
      <c r="Q10" s="15"/>
      <c r="R10" s="15"/>
      <c r="S10" s="15"/>
      <c r="T10" s="15"/>
      <c r="U10" s="131"/>
    </row>
    <row r="11" spans="1:21">
      <c r="A11" s="158"/>
      <c r="B11" s="15"/>
      <c r="C11" s="15"/>
      <c r="D11" s="15"/>
      <c r="E11" s="11" t="str">
        <f>SelectScenario!F15</f>
        <v>Electrical/Mechanical Stack Damper</v>
      </c>
      <c r="F11" s="69" t="str">
        <f>SelectScenario!G15</f>
        <v>NO</v>
      </c>
      <c r="G11" s="354" t="str">
        <f>A73</f>
        <v>ON-Cycle Sensible Heat Loss.</v>
      </c>
      <c r="H11" s="69"/>
      <c r="I11" s="15"/>
      <c r="J11" s="352">
        <f>B74</f>
        <v>0.58969813758583123</v>
      </c>
      <c r="K11" s="243" t="s">
        <v>93</v>
      </c>
      <c r="L11" s="15" t="str">
        <f>M73</f>
        <v>Latent Heat Gain under cyclic Conditions</v>
      </c>
      <c r="M11" s="69"/>
      <c r="N11" s="69"/>
      <c r="O11" s="131"/>
      <c r="P11" s="131"/>
      <c r="Q11" s="15"/>
      <c r="R11" s="15"/>
      <c r="S11" s="15"/>
      <c r="T11" s="15"/>
      <c r="U11" s="131"/>
    </row>
    <row r="12" spans="1:21">
      <c r="A12" s="158"/>
      <c r="B12" s="15"/>
      <c r="C12" s="15"/>
      <c r="D12" s="15"/>
      <c r="E12" s="11" t="str">
        <f>SelectScenario!F16</f>
        <v>Atomspheric Burner</v>
      </c>
      <c r="F12" s="69" t="str">
        <f>SelectScenario!G16</f>
        <v>NO</v>
      </c>
      <c r="G12" s="354" t="str">
        <f>H73</f>
        <v>OFF-Cycle Sensible Heat Loss</v>
      </c>
      <c r="H12" s="69"/>
      <c r="I12" s="15"/>
      <c r="J12" s="357">
        <f>I74</f>
        <v>1.9671632931047426E-7</v>
      </c>
      <c r="K12" s="243" t="s">
        <v>93</v>
      </c>
      <c r="L12" s="367">
        <f>N74</f>
        <v>7.2122906338791291</v>
      </c>
      <c r="M12" s="243" t="s">
        <v>93</v>
      </c>
      <c r="N12" s="69"/>
      <c r="O12" s="131"/>
      <c r="P12" s="131"/>
      <c r="Q12" s="15"/>
      <c r="R12" s="15"/>
      <c r="S12" s="15"/>
      <c r="T12" s="15"/>
      <c r="U12" s="131"/>
    </row>
    <row r="13" spans="1:21">
      <c r="A13" s="158"/>
      <c r="B13" s="15"/>
      <c r="C13" s="15"/>
      <c r="D13" s="15"/>
      <c r="E13" s="11" t="str">
        <f>SelectScenario!F17</f>
        <v>Power Burner</v>
      </c>
      <c r="F13" s="69" t="str">
        <f>SelectScenario!G17</f>
        <v>YES</v>
      </c>
      <c r="G13" s="354" t="str">
        <f>A76</f>
        <v>ON-Cycle Infiltration Heat Loss.</v>
      </c>
      <c r="H13" s="69"/>
      <c r="I13" s="15"/>
      <c r="J13" s="357">
        <f>B77</f>
        <v>0.61776136951816363</v>
      </c>
      <c r="K13" s="243" t="s">
        <v>93</v>
      </c>
      <c r="L13" s="15" t="str">
        <f>Q73</f>
        <v>Part-Load Heat-Loss due to Condensate Going Down the Drain under cyclic condition</v>
      </c>
      <c r="M13" s="243"/>
      <c r="N13" s="69"/>
      <c r="O13" s="131"/>
      <c r="P13" s="131"/>
      <c r="Q13" s="15"/>
      <c r="R13" s="15"/>
      <c r="S13" s="15"/>
      <c r="T13" s="15"/>
      <c r="U13" s="131"/>
    </row>
    <row r="14" spans="1:21" ht="12.75" thickBot="1">
      <c r="A14" s="158"/>
      <c r="B14" s="15"/>
      <c r="C14" s="15"/>
      <c r="D14" s="15"/>
      <c r="E14" s="11" t="str">
        <f>SelectScenario!F18</f>
        <v>Burner Inlet Damper or Flue Damper</v>
      </c>
      <c r="F14" s="69" t="str">
        <f>SelectScenario!G18</f>
        <v>NO</v>
      </c>
      <c r="G14" s="355" t="str">
        <f>H76</f>
        <v>OFF-Cycle Infiltration Heat Loss.</v>
      </c>
      <c r="H14" s="248"/>
      <c r="I14" s="162"/>
      <c r="J14" s="356">
        <f>I77</f>
        <v>0.70812392471493468</v>
      </c>
      <c r="K14" s="358" t="s">
        <v>93</v>
      </c>
      <c r="L14" s="366">
        <f>R74</f>
        <v>7.3095226921731111E-3</v>
      </c>
      <c r="M14" s="358" t="s">
        <v>93</v>
      </c>
      <c r="N14" s="248"/>
      <c r="O14" s="164"/>
      <c r="P14" s="131"/>
      <c r="Q14" s="15"/>
      <c r="R14" s="15"/>
      <c r="S14" s="15"/>
      <c r="T14" s="15"/>
      <c r="U14" s="131"/>
    </row>
    <row r="15" spans="1:21" ht="12.75" thickBot="1">
      <c r="A15" s="161"/>
      <c r="B15" s="162"/>
      <c r="C15" s="163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4"/>
      <c r="Q15" s="15"/>
      <c r="R15" s="15"/>
      <c r="S15" s="15"/>
      <c r="T15" s="15"/>
      <c r="U15" s="131"/>
    </row>
    <row r="16" spans="1:21" ht="12.75" thickBot="1">
      <c r="A16" s="161"/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4"/>
    </row>
    <row r="17" spans="1:21" ht="12.75" thickBot="1">
      <c r="A17" s="225" t="s">
        <v>216</v>
      </c>
      <c r="B17" s="229"/>
      <c r="C17" s="229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29"/>
      <c r="O17" s="229"/>
      <c r="P17" s="229"/>
      <c r="Q17" s="229"/>
      <c r="R17" s="229"/>
      <c r="S17" s="229"/>
      <c r="T17" s="229"/>
      <c r="U17" s="230"/>
    </row>
    <row r="18" spans="1:21">
      <c r="A18" s="239" t="s">
        <v>69</v>
      </c>
      <c r="B18" s="240"/>
      <c r="C18" s="145"/>
      <c r="D18" s="145"/>
      <c r="E18" s="145"/>
      <c r="F18" s="145"/>
      <c r="G18" s="15"/>
      <c r="H18" s="235" t="s">
        <v>94</v>
      </c>
      <c r="I18" s="235"/>
      <c r="J18" s="235"/>
      <c r="K18" s="145"/>
      <c r="L18" s="145"/>
      <c r="M18" s="145"/>
      <c r="N18" s="15"/>
      <c r="O18" s="145" t="s">
        <v>95</v>
      </c>
      <c r="P18" s="145"/>
      <c r="Q18" s="145"/>
      <c r="R18" s="145"/>
      <c r="S18" s="145"/>
      <c r="T18" s="145"/>
      <c r="U18" s="131"/>
    </row>
    <row r="19" spans="1:21" ht="13.5">
      <c r="A19" s="241" t="s">
        <v>236</v>
      </c>
      <c r="B19" s="242">
        <f>Others!F7+Others!G7/(DATAINPUTcnm!F41)</f>
        <v>1.3373945454545453</v>
      </c>
      <c r="C19" s="15" t="s">
        <v>106</v>
      </c>
      <c r="D19" s="15"/>
      <c r="E19" s="15"/>
      <c r="F19" s="15"/>
      <c r="G19" s="15"/>
      <c r="H19" s="80" t="s">
        <v>234</v>
      </c>
      <c r="I19" s="236">
        <f>Others!F7+Others!G7/(DATAINPUTcnm!F45)</f>
        <v>1.3373945454545453</v>
      </c>
      <c r="J19" s="237" t="s">
        <v>106</v>
      </c>
      <c r="K19" s="15"/>
      <c r="L19" s="15"/>
      <c r="M19" s="15"/>
      <c r="N19" s="15"/>
      <c r="O19" s="11" t="s">
        <v>96</v>
      </c>
      <c r="P19" s="147">
        <f>IF(SelectScenario!G12="YES",1,IF(SelectScenario!G13="YES",1.3*(I19/B19),IF(SelectScenario!G14="YES",1.4,I19/B19)))</f>
        <v>1.3</v>
      </c>
      <c r="Q19" s="15" t="s">
        <v>106</v>
      </c>
      <c r="R19" s="15"/>
      <c r="S19" s="15"/>
      <c r="T19" s="15"/>
      <c r="U19" s="131"/>
    </row>
    <row r="20" spans="1:21">
      <c r="A20" s="158"/>
      <c r="B20" s="15"/>
      <c r="C20" s="15"/>
      <c r="D20" s="15"/>
      <c r="E20" s="15"/>
      <c r="F20" s="15"/>
      <c r="G20" s="15"/>
      <c r="H20" s="218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31"/>
    </row>
    <row r="21" spans="1:21">
      <c r="A21" s="239" t="s">
        <v>209</v>
      </c>
      <c r="B21" s="240"/>
      <c r="C21" s="240"/>
      <c r="D21" s="145"/>
      <c r="E21" s="145"/>
      <c r="F21" s="145"/>
      <c r="G21" s="15"/>
      <c r="H21" s="235" t="s">
        <v>208</v>
      </c>
      <c r="I21" s="235"/>
      <c r="J21" s="235"/>
      <c r="K21" s="145"/>
      <c r="L21" s="145"/>
      <c r="M21" s="145"/>
      <c r="N21" s="15"/>
      <c r="O21" s="145" t="s">
        <v>200</v>
      </c>
      <c r="P21" s="145"/>
      <c r="Q21" s="145"/>
      <c r="R21" s="145"/>
      <c r="S21" s="145"/>
      <c r="T21" s="145"/>
      <c r="U21" s="131"/>
    </row>
    <row r="22" spans="1:21" ht="13.5">
      <c r="A22" s="241" t="s">
        <v>240</v>
      </c>
      <c r="B22" s="254">
        <f>DATAINPUTcnm!F33-DATAINPUTcnm!F58</f>
        <v>22.849999999999994</v>
      </c>
      <c r="C22" s="255" t="str">
        <f>IF(UNIT="SI-Unit","C-Degree","F-Degree")</f>
        <v>F-Degree</v>
      </c>
      <c r="D22" s="15"/>
      <c r="E22" s="15"/>
      <c r="F22" s="15"/>
      <c r="G22" s="15"/>
      <c r="H22" s="80" t="s">
        <v>235</v>
      </c>
      <c r="I22" s="238">
        <f>DATAINPUTcnm!F37-DATAINPUTcnm!F58</f>
        <v>21.510000000000005</v>
      </c>
      <c r="J22" s="237" t="str">
        <f>IF(UNIT="SI-Unit","C-Degree","F-Degree")</f>
        <v>F-Degree</v>
      </c>
      <c r="K22" s="15"/>
      <c r="L22" s="15"/>
      <c r="M22" s="15"/>
      <c r="N22" s="15"/>
      <c r="O22" s="11" t="s">
        <v>207</v>
      </c>
      <c r="P22" s="179">
        <f>(B19/Others!D7+1)*DATAINPUTcnm!F25/60/(IF(UNIT="SI-Unit",Others!C7,Others!B7))</f>
        <v>7.5356489633865056E-2</v>
      </c>
      <c r="Q22" s="15" t="str">
        <f>IF(UNIT="SI-Unit","KG/HR","LB/HR")</f>
        <v>LB/HR</v>
      </c>
      <c r="R22" s="15"/>
      <c r="S22" s="15"/>
      <c r="T22" s="15"/>
      <c r="U22" s="131"/>
    </row>
    <row r="23" spans="1:21">
      <c r="A23" s="217"/>
      <c r="B23" s="145"/>
      <c r="C23" s="15"/>
      <c r="D23" s="15"/>
      <c r="E23" s="15"/>
      <c r="F23" s="15"/>
      <c r="G23" s="15"/>
      <c r="H23" s="218"/>
      <c r="I23" s="15"/>
      <c r="J23" s="15"/>
      <c r="L23" s="15"/>
      <c r="M23" s="15"/>
      <c r="N23" s="15"/>
      <c r="O23" s="15"/>
      <c r="P23" s="15"/>
      <c r="Q23" s="15"/>
      <c r="R23" s="15"/>
      <c r="S23" s="15"/>
      <c r="T23" s="15"/>
      <c r="U23" s="131"/>
    </row>
    <row r="24" spans="1:21">
      <c r="A24" s="216" t="s">
        <v>97</v>
      </c>
      <c r="B24" s="145"/>
      <c r="C24" s="145"/>
      <c r="D24" s="145"/>
      <c r="E24" s="145"/>
      <c r="F24" s="145"/>
      <c r="G24" s="15"/>
      <c r="H24" s="145" t="s">
        <v>244</v>
      </c>
      <c r="I24" s="145"/>
      <c r="J24" s="145"/>
      <c r="K24" s="145"/>
      <c r="L24" s="145"/>
      <c r="M24" s="145"/>
      <c r="N24" s="15"/>
      <c r="O24" s="145" t="s">
        <v>101</v>
      </c>
      <c r="P24" s="145"/>
      <c r="Q24" s="145"/>
      <c r="R24" s="145"/>
      <c r="S24" s="145"/>
      <c r="T24" s="145"/>
      <c r="U24" s="131"/>
    </row>
    <row r="25" spans="1:21" ht="13.5">
      <c r="A25" s="217" t="s">
        <v>147</v>
      </c>
      <c r="B25" s="146">
        <f>LSSS(Others!D7,IF(UNIT="SI-Unit",Others!N7,Others!M7),IF(UNIT="SI-Unit",Others!P7,Others!O7),IF(UNIT="SI-Unit",Others!C7,Others!B7),Others!H7,Others!I7,Others!J7,Others!K7,Others!L7,Others!B10,Others!C10,Others!D10,Others!E10,Others!F10,B19,DATAINPUTcnm!F33,IF(UNIT="SI-Unit",Others!C3,Others!B3),DATAINPUTcnm!F58)</f>
        <v>0.5981694324846637</v>
      </c>
      <c r="C25" s="15" t="s">
        <v>93</v>
      </c>
      <c r="D25" s="11" t="s">
        <v>15</v>
      </c>
      <c r="E25" s="148">
        <f>IF(B26,B26,B25)</f>
        <v>0.5981694324846637</v>
      </c>
      <c r="F25" s="15" t="s">
        <v>93</v>
      </c>
      <c r="G25" s="15"/>
      <c r="H25" s="11" t="s">
        <v>241</v>
      </c>
      <c r="I25" s="186">
        <f>100*IF(UNIT="SI-Unit",2450,1053.3)*DATAINPUTcnm!F111/(DATAINPUTcnm!F107*IF(UNIT="SI-Unit",Others!C7,Others!B7))</f>
        <v>7.6617847238154848</v>
      </c>
      <c r="J25" s="15" t="s">
        <v>93</v>
      </c>
      <c r="K25" s="11" t="s">
        <v>15</v>
      </c>
      <c r="L25" s="143">
        <f>IF(I26,I26,I25)</f>
        <v>7.6617847238154848</v>
      </c>
      <c r="M25" s="15" t="s">
        <v>93</v>
      </c>
      <c r="N25" s="15"/>
      <c r="O25" s="11" t="s">
        <v>102</v>
      </c>
      <c r="P25" s="146">
        <f>LJ(DATAINPUTcnm!F25,DATAINPUTcnm!W66,DATAINPUTcnm!W69,DATAINPUTcnm!W72,DATAINPUTcnm!F58,DATAINPUTcnm!S66,DATAINPUTcnm!S69,DATAINPUTcnm!S72,DATAINPUTcnm!S75,UNIT)</f>
        <v>0.24334869458806493</v>
      </c>
      <c r="Q25" s="15" t="s">
        <v>93</v>
      </c>
      <c r="R25" s="11" t="s">
        <v>15</v>
      </c>
      <c r="S25" s="180">
        <f>IF(P26,P26,P25)</f>
        <v>0.24334869458806493</v>
      </c>
      <c r="T25" s="15" t="s">
        <v>93</v>
      </c>
      <c r="U25" s="131"/>
    </row>
    <row r="26" spans="1:21">
      <c r="A26" s="217" t="s">
        <v>16</v>
      </c>
      <c r="B26" s="130"/>
      <c r="C26" s="15" t="s">
        <v>93</v>
      </c>
      <c r="D26" s="15"/>
      <c r="E26" s="15"/>
      <c r="F26" s="15"/>
      <c r="G26" s="15"/>
      <c r="H26" s="11" t="s">
        <v>16</v>
      </c>
      <c r="I26" s="351"/>
      <c r="J26" s="15" t="s">
        <v>93</v>
      </c>
      <c r="K26" s="15"/>
      <c r="L26" s="15"/>
      <c r="M26" s="15"/>
      <c r="N26" s="15"/>
      <c r="O26" s="11" t="s">
        <v>16</v>
      </c>
      <c r="P26" s="130"/>
      <c r="Q26" s="15" t="s">
        <v>93</v>
      </c>
      <c r="R26" s="15"/>
      <c r="S26" s="15"/>
      <c r="T26" s="15"/>
      <c r="U26" s="131"/>
    </row>
    <row r="27" spans="1:21">
      <c r="A27" s="11"/>
      <c r="B27" s="15"/>
      <c r="C27" s="15"/>
      <c r="D27" s="15"/>
      <c r="E27" s="15"/>
      <c r="F27" s="15"/>
      <c r="G27" s="15"/>
      <c r="H27" s="11"/>
      <c r="I27" s="15"/>
      <c r="J27" s="15"/>
      <c r="K27" s="15"/>
      <c r="L27" s="15"/>
      <c r="M27" s="15"/>
      <c r="N27" s="15"/>
      <c r="O27" s="11"/>
      <c r="P27" s="15"/>
      <c r="Q27" s="15"/>
      <c r="R27" s="15"/>
      <c r="S27" s="15"/>
      <c r="T27" s="15"/>
      <c r="U27" s="131"/>
    </row>
    <row r="28" spans="1:21">
      <c r="A28" s="216" t="s">
        <v>243</v>
      </c>
      <c r="B28" s="145"/>
      <c r="C28" s="145"/>
      <c r="D28" s="145"/>
      <c r="E28" s="145"/>
      <c r="F28" s="145"/>
      <c r="G28" s="15"/>
      <c r="H28" s="15"/>
      <c r="I28" s="15"/>
      <c r="J28" s="15"/>
      <c r="K28" s="15"/>
      <c r="L28" s="15"/>
      <c r="M28" s="15"/>
      <c r="N28" s="15"/>
      <c r="O28" s="145" t="s">
        <v>98</v>
      </c>
      <c r="P28" s="145"/>
      <c r="Q28" s="145"/>
      <c r="R28" s="145"/>
      <c r="S28" s="145"/>
      <c r="T28" s="145"/>
      <c r="U28" s="131"/>
    </row>
    <row r="29" spans="1:21" ht="13.5">
      <c r="A29" s="11" t="s">
        <v>242</v>
      </c>
      <c r="B29" s="186">
        <f>I25*(IF(UNIT="SI-Unit",4.187,1)*(DATAINPUTcnm!F33-IF(UNIT="SI-Unit",21.1,70))-IF(UNIT="SI-Unit",1.88,0.45)*(DATAINPUTcnm!F33-IF(UNIT="SI-Unit",5.6,42)))/IF(UNIT="SI-Unit",2450,1053.3)</f>
        <v>7.7650766093923821E-3</v>
      </c>
      <c r="C29" s="15" t="s">
        <v>93</v>
      </c>
      <c r="D29" s="11" t="s">
        <v>15</v>
      </c>
      <c r="E29" s="143">
        <f>IF(B30,B30,B29)</f>
        <v>7.7650766093923821E-3</v>
      </c>
      <c r="F29" s="15" t="s">
        <v>93</v>
      </c>
      <c r="G29" s="15"/>
      <c r="H29" s="15"/>
      <c r="I29" s="15"/>
      <c r="J29" s="15"/>
      <c r="K29" s="15"/>
      <c r="L29" s="15"/>
      <c r="M29" s="15"/>
      <c r="N29" s="15"/>
      <c r="O29" s="11" t="s">
        <v>211</v>
      </c>
      <c r="P29" s="152">
        <f>100-(Others!E7+E25-L25+E29)</f>
        <v>97.505850214721434</v>
      </c>
      <c r="Q29" s="15" t="s">
        <v>93</v>
      </c>
      <c r="R29" s="11" t="s">
        <v>15</v>
      </c>
      <c r="S29" s="148">
        <f>IF(P30,P30,P29)</f>
        <v>97.505850214721434</v>
      </c>
      <c r="T29" s="15" t="s">
        <v>93</v>
      </c>
      <c r="U29" s="131"/>
    </row>
    <row r="30" spans="1:21">
      <c r="A30" s="217" t="s">
        <v>16</v>
      </c>
      <c r="B30" s="130"/>
      <c r="C30" s="15" t="s">
        <v>93</v>
      </c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1" t="s">
        <v>16</v>
      </c>
      <c r="P30" s="130"/>
      <c r="Q30" s="15" t="s">
        <v>93</v>
      </c>
      <c r="R30" s="15"/>
      <c r="S30" s="15"/>
      <c r="T30" s="15"/>
      <c r="U30" s="131"/>
    </row>
    <row r="31" spans="1:21" ht="12.75" thickBot="1">
      <c r="A31" s="217"/>
      <c r="B31" s="15"/>
      <c r="C31" s="15"/>
      <c r="D31" s="15"/>
      <c r="E31" s="15"/>
      <c r="F31" s="15"/>
      <c r="G31" s="15"/>
      <c r="H31" s="11"/>
      <c r="I31" s="15"/>
      <c r="J31" s="15"/>
      <c r="K31" s="15"/>
      <c r="L31" s="15"/>
      <c r="M31" s="15"/>
      <c r="N31" s="15"/>
      <c r="O31" s="11"/>
      <c r="P31" s="15"/>
      <c r="Q31" s="15"/>
      <c r="R31" s="15"/>
      <c r="S31" s="15"/>
      <c r="T31" s="15"/>
      <c r="U31" s="131"/>
    </row>
    <row r="32" spans="1:21" ht="12.75" thickBot="1">
      <c r="A32" s="256" t="s">
        <v>99</v>
      </c>
      <c r="B32" s="257"/>
      <c r="C32" s="257"/>
      <c r="D32" s="25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8"/>
      <c r="T32" s="257"/>
      <c r="U32" s="259"/>
    </row>
    <row r="33" spans="1:21">
      <c r="A33" s="216" t="s">
        <v>100</v>
      </c>
      <c r="B33" s="145"/>
      <c r="C33" s="145"/>
      <c r="D33" s="145"/>
      <c r="E33" s="145"/>
      <c r="F33" s="145"/>
      <c r="G33" s="15"/>
      <c r="H33" s="145" t="s">
        <v>104</v>
      </c>
      <c r="I33" s="145"/>
      <c r="J33" s="145"/>
      <c r="K33" s="145"/>
      <c r="L33" s="145"/>
      <c r="M33" s="145"/>
      <c r="N33" s="15"/>
      <c r="O33" s="145" t="s">
        <v>105</v>
      </c>
      <c r="P33" s="145"/>
      <c r="Q33" s="145"/>
      <c r="R33" s="145"/>
      <c r="S33" s="145"/>
      <c r="T33" s="145"/>
      <c r="U33" s="131"/>
    </row>
    <row r="34" spans="1:21" ht="13.5">
      <c r="A34" s="217" t="s">
        <v>151</v>
      </c>
      <c r="B34" s="146">
        <f>DATAINPUTcnm!F25*(P29-P25*IF(SelectScenario!G23="YES",0,IF(AND(SelectScenario!G11="YES",SelectScenario!B27="Outdoor"),3.3,1.7)))/100</f>
        <v>81187.271122785663</v>
      </c>
      <c r="C34" s="15" t="str">
        <f>IF(UNIT="SI-Unit","kW","BTU/HR")</f>
        <v>BTU/HR</v>
      </c>
      <c r="D34" s="15"/>
      <c r="E34" s="15"/>
      <c r="F34" s="15"/>
      <c r="G34" s="15"/>
      <c r="H34" s="219" t="s">
        <v>103</v>
      </c>
      <c r="I34" s="147">
        <f>0.7</f>
        <v>0.7</v>
      </c>
      <c r="J34" s="15" t="s">
        <v>106</v>
      </c>
      <c r="K34" s="15"/>
      <c r="L34" s="15"/>
      <c r="M34" s="15"/>
      <c r="N34" s="15"/>
      <c r="O34" s="219" t="s">
        <v>152</v>
      </c>
      <c r="P34" s="147">
        <f>IF(UNIT="SI-Unit",5.6,42)</f>
        <v>42</v>
      </c>
      <c r="Q34" s="15" t="str">
        <f>IF(UNIT="SI-Unit","C-Degree","F-Degree")</f>
        <v>F-Degree</v>
      </c>
      <c r="R34" s="15"/>
      <c r="S34" s="15"/>
      <c r="T34" s="15"/>
      <c r="U34" s="131"/>
    </row>
    <row r="35" spans="1:21" ht="12.75" thickBot="1">
      <c r="A35" s="158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31"/>
    </row>
    <row r="36" spans="1:21" ht="12.75" thickBot="1">
      <c r="A36" s="225" t="s">
        <v>217</v>
      </c>
      <c r="B36" s="229"/>
      <c r="C36" s="229"/>
      <c r="D36" s="229"/>
      <c r="E36" s="229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30"/>
    </row>
    <row r="37" spans="1:21">
      <c r="A37" s="216" t="s">
        <v>113</v>
      </c>
      <c r="B37" s="145"/>
      <c r="C37" s="145"/>
      <c r="D37" s="145"/>
      <c r="E37" s="145"/>
      <c r="F37" s="145"/>
      <c r="G37" s="15"/>
      <c r="H37" s="145" t="s">
        <v>114</v>
      </c>
      <c r="I37" s="145"/>
      <c r="J37" s="145"/>
      <c r="K37" s="145"/>
      <c r="L37" s="145"/>
      <c r="M37" s="145"/>
      <c r="N37" s="15"/>
      <c r="O37" s="235" t="s">
        <v>115</v>
      </c>
      <c r="P37" s="235"/>
      <c r="Q37" s="235"/>
      <c r="R37" s="145"/>
      <c r="S37" s="145"/>
      <c r="T37" s="145"/>
      <c r="U37" s="131"/>
    </row>
    <row r="38" spans="1:21" ht="13.5">
      <c r="A38" s="217" t="s">
        <v>153</v>
      </c>
      <c r="B38" s="149">
        <f>100*IF(UNIT="SI-Unit",CPAIRSI,CPAIRBRITISH)*(1+B19*Others!D7)/(IF(UNIT="SI-Unit",Others!C7,Others!B7))</f>
        <v>2.4244951707934208E-2</v>
      </c>
      <c r="C38" s="15" t="s">
        <v>106</v>
      </c>
      <c r="D38" s="15"/>
      <c r="E38" s="15"/>
      <c r="F38" s="15"/>
      <c r="G38" s="15"/>
      <c r="H38" s="11" t="s">
        <v>154</v>
      </c>
      <c r="I38" s="149">
        <f>IF(SYSTEMNUMBER&lt;9,0.7*P19*B38,0)</f>
        <v>2.2062906054220129E-2</v>
      </c>
      <c r="J38" s="15" t="s">
        <v>106</v>
      </c>
      <c r="K38" s="15"/>
      <c r="L38" s="15"/>
      <c r="M38" s="15"/>
      <c r="N38" s="15"/>
      <c r="O38" s="80" t="s">
        <v>252</v>
      </c>
      <c r="P38" s="260">
        <f>(DATAINPUTcnm!F33-DATAINPUTcnm!F58)/P19+DATAINPUTcnm!F58</f>
        <v>89.576923076923066</v>
      </c>
      <c r="Q38" s="237" t="str">
        <f>IF(UNIT="SI-Unit","C-Degree","F-Degree")</f>
        <v>F-Degree</v>
      </c>
      <c r="R38" s="15"/>
      <c r="S38" s="15"/>
      <c r="T38" s="15"/>
      <c r="U38" s="131"/>
    </row>
    <row r="39" spans="1:21">
      <c r="A39" s="158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31"/>
    </row>
    <row r="40" spans="1:21">
      <c r="A40" s="216" t="s">
        <v>116</v>
      </c>
      <c r="B40" s="145"/>
      <c r="C40" s="145"/>
      <c r="D40" s="145"/>
      <c r="E40" s="145"/>
      <c r="F40" s="145"/>
      <c r="G40" s="15"/>
      <c r="H40" s="145" t="s">
        <v>124</v>
      </c>
      <c r="I40" s="145"/>
      <c r="J40" s="145"/>
      <c r="K40" s="145"/>
      <c r="L40" s="145"/>
      <c r="M40" s="145"/>
      <c r="N40" s="15"/>
      <c r="O40" s="145" t="s">
        <v>127</v>
      </c>
      <c r="P40" s="145"/>
      <c r="Q40" s="145"/>
      <c r="R40" s="145"/>
      <c r="S40" s="145"/>
      <c r="T40" s="145"/>
      <c r="U40" s="131"/>
    </row>
    <row r="41" spans="1:21" ht="13.5">
      <c r="A41" s="220" t="s">
        <v>156</v>
      </c>
      <c r="B41" s="149">
        <f>(2.5-0.5)/LN((DATAINPUTcnm!F33-DATAINPUTcnm!F97)/(DATAINPUTcnm!F33-DATAINPUTcnm!F101))</f>
        <v>4.1433906857128928</v>
      </c>
      <c r="C41" s="15" t="s">
        <v>117</v>
      </c>
      <c r="D41" s="15"/>
      <c r="E41" s="15"/>
      <c r="F41" s="15"/>
      <c r="G41" s="15"/>
      <c r="H41" s="11" t="s">
        <v>126</v>
      </c>
      <c r="I41" s="149">
        <f>3.87/B41</f>
        <v>0.93401764244545182</v>
      </c>
      <c r="J41" s="15" t="s">
        <v>106</v>
      </c>
      <c r="K41" s="15"/>
      <c r="L41" s="15"/>
      <c r="M41" s="15"/>
      <c r="N41" s="15"/>
      <c r="O41" s="11" t="s">
        <v>166</v>
      </c>
      <c r="P41" s="149">
        <f>(1-(B58/EXP(I48))/(DATAINPUTcnm!F33-DATAINPUTcnm!F75))/(1-(B67*B58/EXP(I41+I48))/(DATAINPUTcnm!F33-DATAINPUTcnm!F75)^2)</f>
        <v>0.21464142962614363</v>
      </c>
      <c r="Q41" s="15" t="s">
        <v>106</v>
      </c>
      <c r="R41" s="15"/>
      <c r="S41" s="15"/>
      <c r="T41" s="15"/>
      <c r="U41" s="131"/>
    </row>
    <row r="42" spans="1:21" ht="12.75" thickBot="1">
      <c r="A42" s="220"/>
      <c r="B42" s="150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31"/>
    </row>
    <row r="43" spans="1:21" ht="12.75" thickBot="1">
      <c r="A43" s="225" t="s">
        <v>218</v>
      </c>
      <c r="B43" s="228"/>
      <c r="C43" s="229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  <c r="Q43" s="229"/>
      <c r="R43" s="229"/>
      <c r="S43" s="229"/>
      <c r="T43" s="229"/>
      <c r="U43" s="230"/>
    </row>
    <row r="44" spans="1:21">
      <c r="A44" s="216" t="s">
        <v>174</v>
      </c>
      <c r="B44" s="145"/>
      <c r="C44" s="145"/>
      <c r="D44" s="145"/>
      <c r="E44" s="145"/>
      <c r="F44" s="145"/>
      <c r="G44" s="15"/>
      <c r="H44" s="145" t="s">
        <v>194</v>
      </c>
      <c r="I44" s="145"/>
      <c r="J44" s="145"/>
      <c r="K44" s="145"/>
      <c r="L44" s="145"/>
      <c r="M44" s="145"/>
      <c r="N44" s="15"/>
      <c r="O44" s="15"/>
      <c r="P44" s="15"/>
      <c r="Q44" s="15"/>
      <c r="R44" s="15"/>
      <c r="S44" s="15"/>
      <c r="T44" s="15"/>
      <c r="U44" s="131"/>
    </row>
    <row r="45" spans="1:21" ht="13.5">
      <c r="A45" s="217" t="s">
        <v>175</v>
      </c>
      <c r="B45" s="149">
        <f>KS1OFF(DATAINPUTcnm!F33,P38,DATAINPUTcnm!F58,B55,B51,P19,B38,I38,1,1,1,SYSTEMNUMBER,UNIT,P34)</f>
        <v>3.0860840064691977</v>
      </c>
      <c r="C45" s="15" t="s">
        <v>106</v>
      </c>
      <c r="D45" s="15"/>
      <c r="E45" s="15"/>
      <c r="F45" s="15"/>
      <c r="G45" s="15"/>
      <c r="H45" s="11" t="s">
        <v>196</v>
      </c>
      <c r="I45" s="149">
        <f>KS1OFF(DATAINPUTcnm!F33,P38,DATAINPUTcnm!F54,B55,B51,P19,B38,I38,1,1,2,SYSTEMNUMBER,UNIT,P34)</f>
        <v>1.9677233377168182</v>
      </c>
      <c r="J45" s="15" t="s">
        <v>106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31"/>
    </row>
    <row r="46" spans="1:21">
      <c r="A46" s="158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31"/>
    </row>
    <row r="47" spans="1:21">
      <c r="A47" s="216" t="s">
        <v>118</v>
      </c>
      <c r="B47" s="145"/>
      <c r="C47" s="145"/>
      <c r="D47" s="145"/>
      <c r="E47" s="145"/>
      <c r="F47" s="145"/>
      <c r="G47" s="15"/>
      <c r="H47" s="145" t="s">
        <v>125</v>
      </c>
      <c r="I47" s="145"/>
      <c r="J47" s="145"/>
      <c r="K47" s="145"/>
      <c r="L47" s="145"/>
      <c r="M47" s="145"/>
      <c r="N47" s="15"/>
      <c r="O47" s="145" t="s">
        <v>128</v>
      </c>
      <c r="P47" s="145"/>
      <c r="Q47" s="145"/>
      <c r="R47" s="145"/>
      <c r="S47" s="145"/>
      <c r="T47" s="145"/>
      <c r="U47" s="131"/>
    </row>
    <row r="48" spans="1:21" ht="13.5">
      <c r="A48" s="220" t="s">
        <v>157</v>
      </c>
      <c r="B48" s="149">
        <f>(9-1.5)/LN((DATAINPUTcnm!F67-DATAINPUTcnm!F75)/(DATAINPUTcnm!F71-DATAINPUTcnm!F75))</f>
        <v>1366.4965696967909</v>
      </c>
      <c r="C48" s="15" t="s">
        <v>117</v>
      </c>
      <c r="D48" s="15"/>
      <c r="E48" s="15"/>
      <c r="F48" s="15"/>
      <c r="G48" s="15"/>
      <c r="H48" s="11" t="s">
        <v>164</v>
      </c>
      <c r="I48" s="149">
        <f>IF(SelectScenario!G58="YES",(13.3-DATAINPUTcnm!A86)/B48,13.3/B48)</f>
        <v>9.7329186877879326E-3</v>
      </c>
      <c r="J48" s="15" t="s">
        <v>106</v>
      </c>
      <c r="K48" s="15"/>
      <c r="L48" s="15"/>
      <c r="M48" s="15"/>
      <c r="N48" s="15"/>
      <c r="O48" s="11" t="s">
        <v>167</v>
      </c>
      <c r="P48" s="149">
        <f>IF(SelectScenario!G59="YES",1,0.9)*(1-(B67/EXP(I41))/(DATAINPUTcnm!F33-DATAINPUTcnm!F75))/(1-(B67*B58/EXP(I41+I48))/(DATAINPUTcnm!F33-DATAINPUTcnm!F75)^2)</f>
        <v>0.89167867995815742</v>
      </c>
      <c r="Q48" s="15" t="s">
        <v>106</v>
      </c>
      <c r="R48" s="15"/>
      <c r="S48" s="15"/>
      <c r="T48" s="15"/>
      <c r="U48" s="131"/>
    </row>
    <row r="49" spans="1:21">
      <c r="A49" s="220"/>
      <c r="B49" s="150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31"/>
    </row>
    <row r="50" spans="1:21">
      <c r="A50" s="216" t="s">
        <v>219</v>
      </c>
      <c r="B50" s="145"/>
      <c r="C50" s="145"/>
      <c r="D50" s="145"/>
      <c r="E50" s="145"/>
      <c r="F50" s="145"/>
      <c r="G50" s="15"/>
      <c r="H50" s="15"/>
      <c r="I50" s="15"/>
      <c r="J50" s="15"/>
      <c r="K50" s="15"/>
      <c r="L50" s="15"/>
      <c r="M50" s="15"/>
      <c r="N50" s="15"/>
      <c r="O50" s="11"/>
      <c r="P50" s="11"/>
      <c r="Q50" s="151"/>
      <c r="R50" s="15"/>
      <c r="S50" s="15"/>
      <c r="T50" s="15"/>
      <c r="U50" s="131"/>
    </row>
    <row r="51" spans="1:21" ht="13.5">
      <c r="A51" s="217" t="s">
        <v>158</v>
      </c>
      <c r="B51" s="147">
        <f>IF(B52="NO",0.05,IF(OR(AND(SYSTEMNUMBER=1,OR(SelectScenario!G15="YES",SelectScenario!G18="YES")),SYSTEMNUMBER=9),1,IF(OR(SYSTEMNUMBER=2,SYSTEMNUMBER=3,SYSTEMNUMBER=4,SYSTEMNUMBER=8,SYSTEMNUMBER=10),0.4,1)))</f>
        <v>0.4</v>
      </c>
      <c r="C51" s="15" t="s">
        <v>106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1"/>
      <c r="P51" s="11"/>
      <c r="Q51" s="151"/>
      <c r="R51" s="15"/>
      <c r="S51" s="15"/>
      <c r="T51" s="15"/>
      <c r="U51" s="131"/>
    </row>
    <row r="52" spans="1:21">
      <c r="A52" s="217" t="s">
        <v>16</v>
      </c>
      <c r="B52" s="142" t="s">
        <v>18</v>
      </c>
      <c r="C52" s="151" t="s">
        <v>159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1"/>
      <c r="P52" s="11"/>
      <c r="Q52" s="151"/>
      <c r="R52" s="15"/>
      <c r="S52" s="15"/>
      <c r="T52" s="15"/>
      <c r="U52" s="131"/>
    </row>
    <row r="53" spans="1:21">
      <c r="A53" s="220"/>
      <c r="B53" s="150"/>
      <c r="C53" s="15"/>
      <c r="D53" s="15"/>
      <c r="E53" s="15"/>
      <c r="F53" s="15"/>
      <c r="G53" s="15"/>
      <c r="H53" s="221"/>
      <c r="I53" s="150"/>
      <c r="J53" s="15"/>
      <c r="K53" s="15"/>
      <c r="L53" s="15"/>
      <c r="M53" s="15"/>
      <c r="N53" s="15"/>
      <c r="O53" s="11"/>
      <c r="P53" s="15"/>
      <c r="Q53" s="151"/>
      <c r="R53" s="15"/>
      <c r="S53" s="15"/>
      <c r="T53" s="15"/>
      <c r="U53" s="131"/>
    </row>
    <row r="54" spans="1:21">
      <c r="A54" s="158" t="s">
        <v>129</v>
      </c>
      <c r="B54" s="150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45"/>
      <c r="N54" s="15"/>
      <c r="O54" s="145" t="s">
        <v>122</v>
      </c>
      <c r="P54" s="145"/>
      <c r="Q54" s="145"/>
      <c r="R54" s="145"/>
      <c r="S54" s="145"/>
      <c r="T54" s="145"/>
      <c r="U54" s="131"/>
    </row>
    <row r="55" spans="1:21" ht="15">
      <c r="A55" s="222" t="s">
        <v>130</v>
      </c>
      <c r="B55" s="234">
        <f>IF(SYSTEMNUMBER=3,0.4,1)</f>
        <v>0.4</v>
      </c>
      <c r="C55" s="183" t="s">
        <v>106</v>
      </c>
      <c r="D55" s="182"/>
      <c r="E55" s="184"/>
      <c r="F55" s="183"/>
      <c r="G55" s="11"/>
      <c r="H55" s="272" t="s">
        <v>144</v>
      </c>
      <c r="I55" s="273">
        <f>DOIDS(B48,DATAINPUTcnm!R43,DATAINPUTcnm!R46,P64,P58,B61,P19,B51,P55,DATAINPUTcnm!W43,DATAINPUTcnm!W46,DATAINPUTcnm!W49,DATAINPUTcnm!W52,DATAINPUTcnm!W55,1,13.3)</f>
        <v>0.44233807801216152</v>
      </c>
      <c r="J55" s="274" t="s">
        <v>106</v>
      </c>
      <c r="K55" s="275" t="s">
        <v>195</v>
      </c>
      <c r="L55" s="273">
        <f>DOIDS(B48,DATAINPUTcnm!R43,DATAINPUTcnm!R46,P64,P58,B61,P19,B51,P55,DATAINPUTcnm!W43,DATAINPUTcnm!W46,DATAINPUTcnm!W49,DATAINPUTcnm!W52,DATAINPUTcnm!W55,2,13.3)</f>
        <v>0.4263274396032235</v>
      </c>
      <c r="M55" s="274" t="s">
        <v>106</v>
      </c>
      <c r="N55" s="15"/>
      <c r="O55" s="11" t="s">
        <v>123</v>
      </c>
      <c r="P55" s="152">
        <f>IF(SYSTEMNUMBER=3,0.4,IF(OR(SYSTEMNUMBER=4,SYSTEMNUMBER=8),0.85,1))</f>
        <v>0.4</v>
      </c>
      <c r="Q55" s="15" t="s">
        <v>106</v>
      </c>
      <c r="R55" s="15"/>
      <c r="S55" s="15"/>
      <c r="T55" s="15"/>
      <c r="U55" s="131"/>
    </row>
    <row r="56" spans="1:21">
      <c r="A56" s="220"/>
      <c r="B56" s="150"/>
      <c r="C56" s="15"/>
      <c r="D56" s="15"/>
      <c r="E56" s="15"/>
      <c r="F56" s="15"/>
      <c r="G56" s="15"/>
      <c r="H56" s="11"/>
      <c r="I56" s="153"/>
      <c r="J56" s="15"/>
      <c r="K56" s="15"/>
      <c r="L56" s="15"/>
      <c r="M56" s="15"/>
      <c r="N56" s="15"/>
      <c r="O56" s="11"/>
      <c r="P56" s="15"/>
      <c r="Q56" s="15"/>
      <c r="R56" s="15"/>
      <c r="S56" s="15"/>
      <c r="T56" s="15"/>
      <c r="U56" s="131"/>
    </row>
    <row r="57" spans="1:21">
      <c r="A57" s="216" t="s">
        <v>221</v>
      </c>
      <c r="B57" s="145"/>
      <c r="C57" s="145"/>
      <c r="D57" s="145"/>
      <c r="E57" s="145"/>
      <c r="F57" s="145"/>
      <c r="G57" s="15"/>
      <c r="H57" s="145" t="s">
        <v>222</v>
      </c>
      <c r="I57" s="145"/>
      <c r="J57" s="145"/>
      <c r="K57" s="145"/>
      <c r="L57" s="145"/>
      <c r="M57" s="145"/>
      <c r="N57" s="15"/>
      <c r="O57" s="145" t="s">
        <v>225</v>
      </c>
      <c r="P57" s="145"/>
      <c r="Q57" s="145"/>
      <c r="R57" s="145"/>
      <c r="S57" s="145"/>
      <c r="T57" s="145"/>
      <c r="U57" s="131"/>
    </row>
    <row r="58" spans="1:21" ht="13.5">
      <c r="A58" s="220" t="s">
        <v>160</v>
      </c>
      <c r="B58" s="146">
        <f>(DATAINPUTcnm!F67-DATAINPUTcnm!F75)*EXP(DATAINPUTcnm!A66/B48)</f>
        <v>18.290065946241246</v>
      </c>
      <c r="C58" s="15" t="str">
        <f>IF(UNIT="SI-Unit","C-Degree","F-Degree")</f>
        <v>F-Degree</v>
      </c>
      <c r="D58" s="15"/>
      <c r="E58" s="15"/>
      <c r="F58" s="15"/>
      <c r="G58" s="15"/>
      <c r="H58" s="221" t="s">
        <v>161</v>
      </c>
      <c r="I58" s="146">
        <f>DATAINPUTcnm!F75-DATAINPUTcnm!F58</f>
        <v>0</v>
      </c>
      <c r="J58" s="15" t="str">
        <f>IF(UNIT="SI-Unit","C-Degree","F-Degree")</f>
        <v>F-Degree</v>
      </c>
      <c r="K58" s="15"/>
      <c r="L58" s="15"/>
      <c r="M58" s="15"/>
      <c r="N58" s="15"/>
      <c r="O58" s="221" t="s">
        <v>168</v>
      </c>
      <c r="P58" s="146">
        <f>IF(SYSTEMNUMBER&lt;9,B58*P48,1.22*P48*B58)</f>
        <v>16.30886185929204</v>
      </c>
      <c r="Q58" s="15" t="str">
        <f>IF(UNIT="SI-Unit","C-Degree","F-Degree")</f>
        <v>F-Degree</v>
      </c>
      <c r="R58" s="15"/>
      <c r="S58" s="15"/>
      <c r="T58" s="15"/>
      <c r="U58" s="131"/>
    </row>
    <row r="59" spans="1:21">
      <c r="A59" s="158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31"/>
    </row>
    <row r="60" spans="1:21" ht="12.75">
      <c r="A60" s="216" t="s">
        <v>224</v>
      </c>
      <c r="B60" s="145"/>
      <c r="C60" s="145"/>
      <c r="D60" s="145"/>
      <c r="E60" s="145"/>
      <c r="F60" s="14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31"/>
    </row>
    <row r="61" spans="1:21" ht="13.5">
      <c r="A61" s="220" t="s">
        <v>169</v>
      </c>
      <c r="B61" s="146">
        <f>IF(SYSTEMNUMBER&lt;9,I58,1.22*I58)</f>
        <v>0</v>
      </c>
      <c r="C61" s="15" t="str">
        <f>IF(UNIT="SI-Unit","C-Degree","F-Degree")</f>
        <v>F-Degree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31"/>
    </row>
    <row r="62" spans="1:21">
      <c r="A62" s="158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31"/>
    </row>
    <row r="63" spans="1:21" ht="12.75">
      <c r="A63" s="261" t="s">
        <v>253</v>
      </c>
      <c r="B63" s="235"/>
      <c r="C63" s="235"/>
      <c r="D63" s="145"/>
      <c r="E63" s="145"/>
      <c r="F63" s="145"/>
      <c r="G63" s="15"/>
      <c r="H63" s="145" t="s">
        <v>223</v>
      </c>
      <c r="I63" s="145"/>
      <c r="J63" s="145"/>
      <c r="K63" s="145"/>
      <c r="L63" s="145"/>
      <c r="M63" s="145"/>
      <c r="N63" s="15"/>
      <c r="O63" s="235" t="s">
        <v>255</v>
      </c>
      <c r="P63" s="235"/>
      <c r="Q63" s="235"/>
      <c r="R63" s="145"/>
      <c r="S63" s="145"/>
      <c r="T63" s="145"/>
      <c r="U63" s="131"/>
    </row>
    <row r="64" spans="1:21" ht="13.5">
      <c r="A64" s="262" t="s">
        <v>254</v>
      </c>
      <c r="B64" s="260">
        <f>IF(AND(SYSTEMNUMBER&gt;4,SYSTEMNUMBER&lt;9,P19*P55&lt;=B51),B58,B51*B58/P19/P55)</f>
        <v>14.069281497108651</v>
      </c>
      <c r="C64" s="237" t="str">
        <f>IF(UNIT="SI-Unit","C-Degree","F-Degree")</f>
        <v>F-Degree</v>
      </c>
      <c r="D64" s="15"/>
      <c r="E64" s="15"/>
      <c r="F64" s="15"/>
      <c r="G64" s="15"/>
      <c r="H64" s="221" t="s">
        <v>162</v>
      </c>
      <c r="I64" s="147">
        <f>B51*I58</f>
        <v>0</v>
      </c>
      <c r="J64" s="15" t="str">
        <f>IF(UNIT="SI-Unit","C-Degree","F-Degree")</f>
        <v>F-Degree</v>
      </c>
      <c r="K64" s="15"/>
      <c r="L64" s="15"/>
      <c r="M64" s="15"/>
      <c r="N64" s="15"/>
      <c r="O64" s="263" t="s">
        <v>256</v>
      </c>
      <c r="P64" s="260">
        <f>B64*P48</f>
        <v>12.545278353301571</v>
      </c>
      <c r="Q64" s="237" t="str">
        <f>IF(UNIT="SI-Unit","C-Degree","F-Degree")</f>
        <v>F-Degree</v>
      </c>
      <c r="R64" s="15"/>
      <c r="S64" s="15"/>
      <c r="T64" s="15"/>
      <c r="U64" s="131"/>
    </row>
    <row r="65" spans="1:25">
      <c r="A65" s="158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31"/>
    </row>
    <row r="66" spans="1:25">
      <c r="A66" s="216" t="s">
        <v>227</v>
      </c>
      <c r="B66" s="145"/>
      <c r="C66" s="145"/>
      <c r="D66" s="145"/>
      <c r="E66" s="145"/>
      <c r="F66" s="145"/>
      <c r="G66" s="15"/>
      <c r="H66" s="15"/>
      <c r="I66" s="15"/>
      <c r="J66" s="15"/>
      <c r="K66" s="15"/>
      <c r="L66" s="15"/>
      <c r="M66" s="15"/>
      <c r="N66" s="15"/>
      <c r="O66" s="15" t="s">
        <v>228</v>
      </c>
      <c r="P66" s="15"/>
      <c r="Q66" s="15"/>
      <c r="R66" s="15"/>
      <c r="S66" s="15"/>
      <c r="T66" s="15"/>
      <c r="U66" s="131"/>
    </row>
    <row r="67" spans="1:25" ht="13.5">
      <c r="A67" s="220" t="s">
        <v>165</v>
      </c>
      <c r="B67" s="146">
        <f>(DATAINPUTcnm!F33-DATAINPUTcnm!F97)*EXP(DATAINPUTcnm!A97/B41)</f>
        <v>2.5047309157261912</v>
      </c>
      <c r="C67" s="15" t="str">
        <f>IF(UNIT="SI-Unit","C-Degree","F-Degree")</f>
        <v>F-Degree</v>
      </c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21" t="s">
        <v>173</v>
      </c>
      <c r="P67" s="207">
        <f>IF(SYSTEMNUMBER&lt;9,P41*B67,P41*B71*B67)</f>
        <v>0.53761902458026956</v>
      </c>
      <c r="Q67" s="15" t="str">
        <f>IF(UNIT="SI-Unit","C-Degree","F-Degree")</f>
        <v>F-Degree</v>
      </c>
      <c r="R67" s="15"/>
      <c r="S67" s="15"/>
      <c r="T67" s="15"/>
      <c r="U67" s="131"/>
    </row>
    <row r="68" spans="1:25" ht="12.75" thickBot="1">
      <c r="A68" s="158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31"/>
    </row>
    <row r="69" spans="1:25" ht="14.25" thickBot="1">
      <c r="A69" s="225" t="s">
        <v>233</v>
      </c>
      <c r="B69" s="226"/>
      <c r="C69" s="226"/>
      <c r="D69" s="226"/>
      <c r="E69" s="226"/>
      <c r="F69" s="226"/>
      <c r="G69" s="226"/>
      <c r="H69" s="226"/>
      <c r="I69" s="226"/>
      <c r="J69" s="226"/>
      <c r="K69" s="226"/>
      <c r="L69" s="226"/>
      <c r="M69" s="226"/>
      <c r="N69" s="226"/>
      <c r="O69" s="226"/>
      <c r="P69" s="226"/>
      <c r="Q69" s="226"/>
      <c r="R69" s="226"/>
      <c r="S69" s="226"/>
      <c r="T69" s="226"/>
      <c r="U69" s="227"/>
      <c r="V69" s="215"/>
      <c r="W69" s="215"/>
      <c r="X69" s="215"/>
      <c r="Y69" s="215"/>
    </row>
    <row r="70" spans="1:25">
      <c r="A70" s="158" t="s">
        <v>171</v>
      </c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31"/>
    </row>
    <row r="71" spans="1:25">
      <c r="A71" s="217" t="s">
        <v>172</v>
      </c>
      <c r="B71" s="130">
        <f>IF(SYSTEMNUMBER&lt;9,1,(DATAINPUTcnm!F33-P34)/(DATAINPUTcnm!F33-DATAINPUTcnm!F58))</f>
        <v>1</v>
      </c>
      <c r="C71" s="15" t="s">
        <v>106</v>
      </c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31"/>
    </row>
    <row r="72" spans="1:25">
      <c r="A72" s="158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31"/>
    </row>
    <row r="73" spans="1:25">
      <c r="A73" s="158" t="s">
        <v>197</v>
      </c>
      <c r="B73" s="15"/>
      <c r="C73" s="15"/>
      <c r="D73" s="15"/>
      <c r="E73" s="15"/>
      <c r="F73" s="15"/>
      <c r="G73" s="15"/>
      <c r="H73" s="15" t="s">
        <v>198</v>
      </c>
      <c r="I73" s="15"/>
      <c r="J73" s="15"/>
      <c r="K73" s="15"/>
      <c r="L73" s="15"/>
      <c r="M73" s="15" t="s">
        <v>348</v>
      </c>
      <c r="N73" s="15"/>
      <c r="O73" s="15"/>
      <c r="P73" s="15"/>
      <c r="Q73" s="15" t="s">
        <v>369</v>
      </c>
      <c r="R73" s="15"/>
      <c r="S73" s="15"/>
      <c r="T73" s="15"/>
      <c r="U73" s="131"/>
    </row>
    <row r="74" spans="1:25" ht="13.5">
      <c r="A74" s="217" t="s">
        <v>229</v>
      </c>
      <c r="B74" s="207">
        <f>IF(SYSTEMNUMBER&lt;9,B25-(B38*P67/I41*(1-1/EXP(I41))),B71*B25-B38*P67/I41*(1-1/EXP(I41)))</f>
        <v>0.58969813758583123</v>
      </c>
      <c r="C74" s="15" t="s">
        <v>93</v>
      </c>
      <c r="D74" s="15"/>
      <c r="E74" s="15"/>
      <c r="F74" s="15"/>
      <c r="G74" s="15"/>
      <c r="H74" s="11" t="s">
        <v>230</v>
      </c>
      <c r="I74" s="208">
        <f>IF(SelectScenario!G58="NO", LSOFF(B45,I48,P58,P64,B61,I64,SYSTEMNUMBER,3.87,13.3),LSOFFTP(DATAINPUTcnm!F25,P22,DATAINPUTcnm!A86,DATAINPUTcnm!F33,DATAINPUTcnm!F58,DATAINPUTcnm!F87,DATAINPUTcnm!F86,B45,I48,P58,P64,B61,I64,P48,SYSTEMNUMBER,UNIT,3.87,13.3))</f>
        <v>1.9671632931047426E-7</v>
      </c>
      <c r="J74" s="15" t="s">
        <v>93</v>
      </c>
      <c r="K74" s="15"/>
      <c r="L74" s="15"/>
      <c r="M74" s="11" t="s">
        <v>245</v>
      </c>
      <c r="N74" s="186">
        <f>100*IF(UNIT="SI-Unit",2450,1053.3)*DATAINPUTcnm!F121/(DATAINPUTcnm!F116*IF(UNIT="SI-Unit",Others!C7,Others!B7))</f>
        <v>7.2122906338791291</v>
      </c>
      <c r="O74" s="15" t="s">
        <v>93</v>
      </c>
      <c r="P74" s="15"/>
      <c r="Q74" s="11" t="s">
        <v>247</v>
      </c>
      <c r="R74" s="186">
        <f>N74*(IF(UNIT="SI-Unit",4.187,1)*(DATAINPUTcnm!F33-IF(UNIT="SI-Unit",21.1,70))-IF(UNIT="SI-Unit",1.88,0.45)*(DATAINPUTcnm!F33-IF(UNIT="SI-Unit",5.6,42)))/IF(UNIT="SI-Unit",2450,1053.3)</f>
        <v>7.3095226921731111E-3</v>
      </c>
      <c r="S74" s="15" t="s">
        <v>93</v>
      </c>
      <c r="T74" s="15"/>
      <c r="U74" s="131"/>
    </row>
    <row r="75" spans="1:25">
      <c r="A75" s="158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31"/>
    </row>
    <row r="76" spans="1:25">
      <c r="A76" s="158" t="s">
        <v>201</v>
      </c>
      <c r="B76" s="15"/>
      <c r="C76" s="15"/>
      <c r="D76" s="15"/>
      <c r="E76" s="15"/>
      <c r="F76" s="15"/>
      <c r="G76" s="15"/>
      <c r="H76" s="15" t="s">
        <v>202</v>
      </c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31"/>
    </row>
    <row r="77" spans="1:25" ht="13.5">
      <c r="A77" s="217" t="s">
        <v>232</v>
      </c>
      <c r="B77" s="208">
        <f>LION(I38,SYSTEMNUMBER,UNIT,P34)</f>
        <v>0.61776136951816363</v>
      </c>
      <c r="C77" s="15" t="s">
        <v>93</v>
      </c>
      <c r="D77" s="15"/>
      <c r="E77" s="15"/>
      <c r="F77" s="15"/>
      <c r="G77" s="15"/>
      <c r="H77" s="11" t="s">
        <v>231</v>
      </c>
      <c r="I77" s="209">
        <f>IF(SelectScenario!G58="NO",LIOFF(I45,I48,P58,P64,B61,I64,SYSTEMNUMBER,UNIT,P34,3.87,13.3),LIOFFTP(DATAINPUTcnm!F25,P22,DATAINPUTcnm!A86,DATAINPUTcnm!F33,DATAINPUTcnm!F58,DATAINPUTcnm!F87,DATAINPUTcnm!F86,I45,I48,P58,P64,B61,I64,P48,SYSTEMNUMBER,UNIT,P34,3.87,13.3))</f>
        <v>0.70812392471493468</v>
      </c>
      <c r="J77" s="15" t="s">
        <v>93</v>
      </c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31"/>
    </row>
    <row r="78" spans="1:25">
      <c r="A78" s="158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31"/>
    </row>
    <row r="79" spans="1:25">
      <c r="A79" s="158" t="s">
        <v>203</v>
      </c>
      <c r="B79" s="15"/>
      <c r="C79" s="15"/>
      <c r="D79" s="15"/>
      <c r="E79" s="15"/>
      <c r="F79" s="15"/>
      <c r="G79" s="15"/>
      <c r="H79" s="15" t="s">
        <v>205</v>
      </c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31"/>
    </row>
    <row r="80" spans="1:25" ht="13.5">
      <c r="A80" s="217" t="s">
        <v>204</v>
      </c>
      <c r="B80" s="186">
        <f>100-Others!E7+N74-R74-P25*(IF(SelectScenario!G10="YES",0,IF(SelectScenario!G11="YES",IF(SelectScenario!B27="Isolated",1.7,3.3),0)))-(3.87/(3.87+DATAINPUTcnm!F79/DATAINPUTcnm!F25*13.3))*(B74+I74+B77+I77)</f>
        <v>95.739397482651711</v>
      </c>
      <c r="C80" s="15" t="s">
        <v>93</v>
      </c>
      <c r="D80" s="15"/>
      <c r="E80" s="15"/>
      <c r="F80" s="15"/>
      <c r="G80" s="15"/>
      <c r="H80" s="11" t="s">
        <v>206</v>
      </c>
      <c r="I80" s="186">
        <f>IF(UNIT="SI-Unit",2889,5200)*B80*P29/(IF(UNIT="SI-Unit",2889,5200)*P29+2.5/(IF(UNIT="SI-Unit",1.8,1))*(1+I34)*4600*B80*DATAINPUTncnm!F79/DATAINPUTcnm!F25)</f>
        <v>95.739397482651725</v>
      </c>
      <c r="J80" s="15" t="s">
        <v>93</v>
      </c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223"/>
    </row>
    <row r="81" spans="1:21" ht="13.5">
      <c r="A81" s="217" t="s">
        <v>204</v>
      </c>
      <c r="B81" s="186">
        <f>100-Others!E7+N74-R74-P25*(IF(SelectScenario!G10="YES",0,IF(SelectScenario!G11="YES",IF(SelectScenario!B27="Isolated",1.7,3.3),0)))-(3.87/(3.87+DATAINPUTcnm!F79/DATAINPUTcnm!F25*13.3))*B71*(B25)</f>
        <v>97.056811678702303</v>
      </c>
      <c r="C81" s="243" t="s">
        <v>347</v>
      </c>
      <c r="D81" s="15"/>
      <c r="E81" s="15"/>
      <c r="F81" s="15"/>
      <c r="G81" s="15"/>
      <c r="H81" s="11" t="s">
        <v>206</v>
      </c>
      <c r="I81" s="186">
        <f>IF(UNIT="SI-Unit",2889,5200)*B81*P29/(IF(UNIT="SI-Unit",2889,5200)*P29+2.5/(IF(UNIT="SI-Unit",1.8,1))*(1+I34)*4600*B81*DATAINPUTncnm!F79/DATAINPUTcnm!F25)</f>
        <v>97.056811678702303</v>
      </c>
      <c r="J81" s="243" t="s">
        <v>347</v>
      </c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31"/>
    </row>
    <row r="82" spans="1:21" ht="12.75" thickBot="1">
      <c r="A82" s="161"/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4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F0666B-7AE3-416E-8D64-2A731B6FDC9C}">
          <x14:formula1>
            <xm:f>SelectScenario!$AA$32:$AA$33</xm:f>
          </x14:formula1>
          <xm:sqref>R55:R56 B52 P50:P52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012B0-168E-4D87-B555-1C546B59686B}">
  <sheetPr codeName="Sheet10">
    <tabColor theme="4" tint="0.39997558519241921"/>
  </sheetPr>
  <dimension ref="A1:AH170"/>
  <sheetViews>
    <sheetView topLeftCell="A27" zoomScale="90" zoomScaleNormal="90" workbookViewId="0">
      <selection activeCell="X38" sqref="X38"/>
    </sheetView>
  </sheetViews>
  <sheetFormatPr defaultRowHeight="15"/>
  <cols>
    <col min="1" max="1" width="10.85546875" customWidth="1"/>
    <col min="7" max="7" width="11.42578125" customWidth="1"/>
    <col min="14" max="14" width="10.7109375" customWidth="1"/>
    <col min="24" max="24" width="13.28515625" customWidth="1"/>
  </cols>
  <sheetData>
    <row r="1" spans="1:34">
      <c r="A1" s="211"/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3"/>
    </row>
    <row r="2" spans="1:34">
      <c r="A2" s="65"/>
      <c r="B2" s="2"/>
      <c r="C2" s="2"/>
      <c r="D2" s="2"/>
      <c r="E2" s="2"/>
      <c r="F2" s="4" t="str">
        <f>SelectScenario!F7</f>
        <v xml:space="preserve">Selected Unit: </v>
      </c>
      <c r="G2" s="67" t="str">
        <f>SelectScenario!G7</f>
        <v>Condensing, Step-ModulatingNG Furnace</v>
      </c>
      <c r="H2" s="2"/>
      <c r="I2" s="2"/>
      <c r="J2" s="2"/>
      <c r="K2" s="2"/>
      <c r="L2" s="67" t="s">
        <v>55</v>
      </c>
      <c r="M2" s="67"/>
      <c r="N2" s="79"/>
    </row>
    <row r="3" spans="1:34">
      <c r="A3" s="65"/>
      <c r="B3" s="2"/>
      <c r="C3" s="2"/>
      <c r="D3" s="2"/>
      <c r="E3" s="2"/>
      <c r="F3" s="11" t="str">
        <f>SelectScenario!F5</f>
        <v>Select NG Furnace System Scenario</v>
      </c>
      <c r="G3" s="69">
        <f>SelectScenario!G5</f>
        <v>3</v>
      </c>
      <c r="H3" s="67"/>
      <c r="I3" s="67"/>
      <c r="J3" s="67"/>
      <c r="K3" s="67"/>
      <c r="L3" s="11" t="str">
        <f>SelectScenario!F58</f>
        <v>Post Purge</v>
      </c>
      <c r="M3" s="69" t="str">
        <f>SelectScenario!G58</f>
        <v>NO</v>
      </c>
      <c r="N3" s="68"/>
      <c r="T3" s="57"/>
      <c r="U3" s="1"/>
      <c r="AH3" s="18"/>
    </row>
    <row r="4" spans="1:34">
      <c r="A4" s="65"/>
      <c r="B4" s="2"/>
      <c r="C4" s="2"/>
      <c r="D4" s="2"/>
      <c r="E4" s="2"/>
      <c r="F4" s="11" t="str">
        <f>SelectScenario!F10</f>
        <v>Indoor Combustion Air</v>
      </c>
      <c r="G4" s="69" t="str">
        <f>SelectScenario!G10</f>
        <v>YES</v>
      </c>
      <c r="H4" s="69"/>
      <c r="I4" s="69"/>
      <c r="J4" s="69"/>
      <c r="K4" s="69"/>
      <c r="L4" s="11" t="str">
        <f>SelectScenario!F59</f>
        <v>Pilot Light</v>
      </c>
      <c r="M4" s="69" t="str">
        <f>SelectScenario!G59</f>
        <v>NO</v>
      </c>
      <c r="N4" s="70"/>
      <c r="T4" s="57"/>
      <c r="U4" s="1"/>
      <c r="AH4" s="18"/>
    </row>
    <row r="5" spans="1:34">
      <c r="A5" s="65"/>
      <c r="B5" s="2"/>
      <c r="C5" s="2"/>
      <c r="D5" s="2"/>
      <c r="E5" s="2"/>
      <c r="F5" s="11" t="str">
        <f>SelectScenario!F11</f>
        <v>Outdoor, Direct Vent or isolated Combustion System</v>
      </c>
      <c r="G5" s="69" t="str">
        <f>SelectScenario!G11</f>
        <v>NO</v>
      </c>
      <c r="H5" s="69"/>
      <c r="I5" s="69"/>
      <c r="J5" s="69"/>
      <c r="K5" s="69"/>
      <c r="L5" s="11" t="str">
        <f>SelectScenario!F60</f>
        <v>Unit</v>
      </c>
      <c r="M5" s="138" t="str">
        <f>SelectScenario!G60</f>
        <v>British-Unit</v>
      </c>
      <c r="N5" s="70"/>
      <c r="R5" s="5"/>
      <c r="T5" s="58"/>
      <c r="U5" s="59"/>
      <c r="V5" s="5"/>
      <c r="W5" s="5"/>
      <c r="X5" s="5"/>
      <c r="AH5" s="18"/>
    </row>
    <row r="6" spans="1:34">
      <c r="A6" s="65"/>
      <c r="B6" s="2"/>
      <c r="C6" s="2"/>
      <c r="D6" s="2"/>
      <c r="E6" s="2"/>
      <c r="F6" s="11" t="str">
        <f>SelectScenario!F12</f>
        <v>Direct Exhaust</v>
      </c>
      <c r="G6" s="69" t="str">
        <f>SelectScenario!G12</f>
        <v>NO</v>
      </c>
      <c r="H6" s="69"/>
      <c r="I6" s="69"/>
      <c r="J6" s="69"/>
      <c r="K6" s="69"/>
      <c r="L6" s="69"/>
      <c r="M6" s="69"/>
      <c r="N6" s="70"/>
      <c r="T6" s="57"/>
      <c r="U6" s="1"/>
      <c r="AH6" s="18"/>
    </row>
    <row r="7" spans="1:34">
      <c r="A7" s="65"/>
      <c r="B7" s="2"/>
      <c r="C7" s="2"/>
      <c r="D7" s="2"/>
      <c r="E7" s="2"/>
      <c r="F7" s="11" t="str">
        <f>SelectScenario!F13</f>
        <v>Draft Hood or Draft Diverter</v>
      </c>
      <c r="G7" s="69" t="str">
        <f>SelectScenario!G13</f>
        <v>YES</v>
      </c>
      <c r="H7" s="69"/>
      <c r="I7" s="69"/>
      <c r="J7" s="69"/>
      <c r="K7" s="69"/>
      <c r="L7" s="69"/>
      <c r="M7" s="69"/>
      <c r="N7" s="70"/>
      <c r="T7" s="57"/>
      <c r="U7" s="1"/>
      <c r="AH7" s="18"/>
    </row>
    <row r="8" spans="1:34">
      <c r="A8" s="65"/>
      <c r="B8" s="2"/>
      <c r="C8" s="2"/>
      <c r="D8" s="2"/>
      <c r="E8" s="2"/>
      <c r="F8" s="11" t="str">
        <f>SelectScenario!F14</f>
        <v>Barometric Draft</v>
      </c>
      <c r="G8" s="69" t="str">
        <f>SelectScenario!G14</f>
        <v>NO</v>
      </c>
      <c r="H8" s="69"/>
      <c r="I8" s="69"/>
      <c r="J8" s="69"/>
      <c r="K8" s="69"/>
      <c r="L8" s="69"/>
      <c r="M8" s="69"/>
      <c r="N8" s="70"/>
      <c r="T8" s="57"/>
      <c r="U8" s="1"/>
      <c r="AH8" s="18"/>
    </row>
    <row r="9" spans="1:34">
      <c r="A9" s="65"/>
      <c r="B9" s="2"/>
      <c r="C9" s="2"/>
      <c r="D9" s="2"/>
      <c r="E9" s="2"/>
      <c r="F9" s="11" t="str">
        <f>SelectScenario!F15</f>
        <v>Electrical/Mechanical Stack Damper</v>
      </c>
      <c r="G9" s="69" t="str">
        <f>SelectScenario!G15</f>
        <v>NO</v>
      </c>
      <c r="H9" s="69"/>
      <c r="I9" s="69"/>
      <c r="J9" s="69"/>
      <c r="K9" s="69"/>
      <c r="L9" s="69"/>
      <c r="M9" s="69"/>
      <c r="N9" s="70"/>
      <c r="T9" s="57"/>
      <c r="U9" s="1"/>
      <c r="AH9" s="18"/>
    </row>
    <row r="10" spans="1:34">
      <c r="A10" s="65"/>
      <c r="B10" s="2"/>
      <c r="C10" s="2"/>
      <c r="D10" s="2"/>
      <c r="E10" s="2"/>
      <c r="F10" s="11" t="str">
        <f>SelectScenario!F16</f>
        <v>Atomspheric Burner</v>
      </c>
      <c r="G10" s="69" t="str">
        <f>SelectScenario!G16</f>
        <v>NO</v>
      </c>
      <c r="H10" s="69"/>
      <c r="I10" s="69"/>
      <c r="J10" s="69"/>
      <c r="K10" s="69"/>
      <c r="L10" s="69"/>
      <c r="M10" s="69"/>
      <c r="N10" s="70"/>
      <c r="T10" s="57"/>
      <c r="U10" s="1"/>
      <c r="AH10" s="18"/>
    </row>
    <row r="11" spans="1:34">
      <c r="A11" s="65"/>
      <c r="B11" s="2"/>
      <c r="C11" s="2"/>
      <c r="D11" s="2"/>
      <c r="E11" s="2"/>
      <c r="F11" s="11" t="str">
        <f>SelectScenario!F17</f>
        <v>Power Burner</v>
      </c>
      <c r="G11" s="69" t="str">
        <f>SelectScenario!G17</f>
        <v>YES</v>
      </c>
      <c r="H11" s="69"/>
      <c r="I11" s="69"/>
      <c r="J11" s="69"/>
      <c r="K11" s="69"/>
      <c r="L11" s="69"/>
      <c r="M11" s="69"/>
      <c r="N11" s="70"/>
      <c r="T11" s="57"/>
      <c r="AH11" s="18"/>
    </row>
    <row r="12" spans="1:34">
      <c r="A12" s="65"/>
      <c r="B12" s="2"/>
      <c r="C12" s="2"/>
      <c r="D12" s="2"/>
      <c r="E12" s="2"/>
      <c r="F12" s="11" t="str">
        <f>SelectScenario!F18</f>
        <v>Burner Inlet Damper or Flue Damper</v>
      </c>
      <c r="G12" s="69" t="str">
        <f>SelectScenario!G18</f>
        <v>NO</v>
      </c>
      <c r="H12" s="69"/>
      <c r="I12" s="69"/>
      <c r="J12" s="69"/>
      <c r="K12" s="69"/>
      <c r="L12" s="69"/>
      <c r="M12" s="69"/>
      <c r="N12" s="70"/>
      <c r="AH12" s="18"/>
    </row>
    <row r="13" spans="1:34" ht="15.75" thickBot="1">
      <c r="A13" s="71"/>
      <c r="B13" s="72"/>
      <c r="C13" s="73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4"/>
      <c r="AH13" s="18"/>
    </row>
    <row r="14" spans="1:34" ht="15.75" thickBot="1">
      <c r="A14" s="2"/>
      <c r="B14" s="2"/>
      <c r="C14" s="8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Q14" s="55"/>
      <c r="AH14" s="18"/>
    </row>
    <row r="15" spans="1:34" ht="14.25" customHeight="1" thickBot="1">
      <c r="A15" s="90" t="s">
        <v>47</v>
      </c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2"/>
      <c r="Q15" s="55"/>
      <c r="R15" s="17"/>
      <c r="S15" s="17"/>
      <c r="T15" s="17"/>
      <c r="AH15" s="18"/>
    </row>
    <row r="16" spans="1:34" ht="15.75">
      <c r="A16" s="62"/>
      <c r="B16" s="63"/>
      <c r="C16" s="75"/>
      <c r="D16" s="63"/>
      <c r="E16" s="63"/>
      <c r="F16" s="76" t="s">
        <v>51</v>
      </c>
      <c r="G16" s="63"/>
      <c r="H16" s="62"/>
      <c r="I16" s="63"/>
      <c r="J16" s="63"/>
      <c r="K16" s="63"/>
      <c r="L16" s="63"/>
      <c r="M16" s="89" t="s">
        <v>50</v>
      </c>
      <c r="N16" s="64"/>
      <c r="Q16" s="6"/>
      <c r="AH16" s="18"/>
    </row>
    <row r="17" spans="1:34">
      <c r="A17" s="65"/>
      <c r="B17" s="2"/>
      <c r="C17" s="8"/>
      <c r="D17" s="2"/>
      <c r="E17" s="2"/>
      <c r="F17" s="88" t="str">
        <f>IF(SelectScenario!$G$6="Non-Modulating","(The maximum parameters are required@"&amp;SelectScenario!$G$6&amp;")","The maximum parameters are required@"&amp;SelectScenario!$G$6&amp;")")</f>
        <v>The maximum parameters are required@Step-Modulating)</v>
      </c>
      <c r="G17" s="2"/>
      <c r="H17" s="65"/>
      <c r="I17" s="2"/>
      <c r="J17" s="2"/>
      <c r="K17" s="2"/>
      <c r="L17" s="2"/>
      <c r="M17" s="84" t="str">
        <f>IF(SelectScenario!$G$6="Non-Modulating","(The redcued parameters are not required@"&amp;SelectScenario!$G$6&amp;")","(The redcued parameters are required@"&amp;SelectScenario!$G$6&amp;")")</f>
        <v>(The redcued parameters are required@Step-Modulating)</v>
      </c>
      <c r="N17" s="79"/>
      <c r="Q17" s="6"/>
      <c r="R17" s="17"/>
      <c r="S17" s="17"/>
      <c r="T17" s="17"/>
      <c r="AH17" s="18"/>
    </row>
    <row r="18" spans="1:34" ht="15.75">
      <c r="A18" s="65"/>
      <c r="B18" s="2"/>
      <c r="C18" s="8"/>
      <c r="D18" s="2"/>
      <c r="E18" s="2"/>
      <c r="F18" s="87"/>
      <c r="G18" s="2"/>
      <c r="H18" s="65"/>
      <c r="I18" s="2"/>
      <c r="J18" s="2"/>
      <c r="K18" s="2"/>
      <c r="L18" s="2"/>
      <c r="M18" s="84"/>
      <c r="N18" s="79"/>
      <c r="T18" s="6"/>
      <c r="AH18" s="18"/>
    </row>
    <row r="19" spans="1:34">
      <c r="A19" s="65"/>
      <c r="B19" s="2"/>
      <c r="C19" s="8"/>
      <c r="D19" s="2"/>
      <c r="E19" s="2"/>
      <c r="F19" s="77" t="s">
        <v>39</v>
      </c>
      <c r="G19" s="2"/>
      <c r="H19" s="65"/>
      <c r="I19" s="2"/>
      <c r="J19" s="2"/>
      <c r="L19" s="2"/>
      <c r="M19" s="78" t="s">
        <v>40</v>
      </c>
      <c r="N19" s="85"/>
      <c r="O19" s="1"/>
      <c r="T19" s="6"/>
      <c r="AH19" s="18"/>
    </row>
    <row r="20" spans="1:34">
      <c r="A20" s="65"/>
      <c r="B20" s="2"/>
      <c r="C20" s="8"/>
      <c r="D20" s="2"/>
      <c r="E20" s="11" t="s">
        <v>16</v>
      </c>
      <c r="F20" s="14">
        <v>0.60599999999999998</v>
      </c>
      <c r="G20" s="15"/>
      <c r="H20" s="65"/>
      <c r="I20" s="2"/>
      <c r="J20" s="2"/>
      <c r="K20" s="2"/>
      <c r="L20" s="80" t="s">
        <v>16</v>
      </c>
      <c r="M20" s="14">
        <v>0.46200000000000002</v>
      </c>
      <c r="N20" s="70"/>
      <c r="O20" s="1"/>
      <c r="AH20" s="18"/>
    </row>
    <row r="21" spans="1:34">
      <c r="A21" s="65"/>
      <c r="B21" s="2"/>
      <c r="C21" s="8"/>
      <c r="D21" s="2"/>
      <c r="E21" s="11" t="s">
        <v>15</v>
      </c>
      <c r="F21" s="61">
        <f>F20</f>
        <v>0.60599999999999998</v>
      </c>
      <c r="G21" s="15" t="str">
        <f>IF(UNIT="SI-Unit","Liter/s","CFM")</f>
        <v>CFM</v>
      </c>
      <c r="H21" s="65"/>
      <c r="I21" s="2"/>
      <c r="J21" s="2"/>
      <c r="K21" s="2"/>
      <c r="L21" s="80" t="s">
        <v>15</v>
      </c>
      <c r="M21" s="61">
        <f>IF(SelectScenario!$G$6="Non-Modulating",0,M20)</f>
        <v>0.46200000000000002</v>
      </c>
      <c r="N21" s="131" t="str">
        <f>IF(UNIT="SI-Unit","Liter/s","CFM")</f>
        <v>CFM</v>
      </c>
      <c r="O21" s="1"/>
      <c r="AH21" s="18"/>
    </row>
    <row r="22" spans="1:34">
      <c r="A22" s="65"/>
      <c r="B22" s="2"/>
      <c r="C22" s="8"/>
      <c r="D22" s="2"/>
      <c r="E22" s="2"/>
      <c r="F22" s="81"/>
      <c r="G22" s="15"/>
      <c r="H22" s="65"/>
      <c r="I22" s="2"/>
      <c r="J22" s="2"/>
      <c r="K22" s="2"/>
      <c r="L22" s="82"/>
      <c r="M22" s="2"/>
      <c r="N22" s="131"/>
      <c r="O22" s="1"/>
      <c r="AH22" s="18"/>
    </row>
    <row r="23" spans="1:34">
      <c r="A23" s="65"/>
      <c r="B23" s="2"/>
      <c r="C23" s="8"/>
      <c r="D23" s="2"/>
      <c r="E23" s="2"/>
      <c r="F23" s="77" t="s">
        <v>34</v>
      </c>
      <c r="G23" s="15"/>
      <c r="H23" s="65"/>
      <c r="I23" s="2"/>
      <c r="J23" s="2"/>
      <c r="K23" s="2"/>
      <c r="L23" s="82"/>
      <c r="M23" s="78" t="s">
        <v>27</v>
      </c>
      <c r="N23" s="132"/>
      <c r="O23" s="1"/>
      <c r="AH23" s="18"/>
    </row>
    <row r="24" spans="1:34">
      <c r="A24" s="65"/>
      <c r="B24" s="2"/>
      <c r="C24" s="82"/>
      <c r="D24" s="82"/>
      <c r="E24" s="11" t="s">
        <v>16</v>
      </c>
      <c r="F24" s="14">
        <v>37269</v>
      </c>
      <c r="G24" s="15"/>
      <c r="H24" s="134"/>
      <c r="I24" s="82"/>
      <c r="J24" s="82"/>
      <c r="K24" s="2"/>
      <c r="L24" s="80" t="s">
        <v>16</v>
      </c>
      <c r="M24" s="14">
        <v>28413</v>
      </c>
      <c r="N24" s="70"/>
      <c r="O24" s="59"/>
      <c r="P24" s="5"/>
      <c r="Q24" s="5"/>
      <c r="R24" s="5"/>
      <c r="S24" s="5"/>
      <c r="AH24" s="18"/>
    </row>
    <row r="25" spans="1:34">
      <c r="A25" s="65"/>
      <c r="B25" s="2"/>
      <c r="C25" s="82"/>
      <c r="D25" s="82"/>
      <c r="E25" s="11" t="s">
        <v>15</v>
      </c>
      <c r="F25" s="61">
        <f>F24</f>
        <v>37269</v>
      </c>
      <c r="G25" s="15" t="str">
        <f>IF(UNIT="SI-Unit","kW","BTU/HR")</f>
        <v>BTU/HR</v>
      </c>
      <c r="H25" s="134"/>
      <c r="I25" s="82"/>
      <c r="J25" s="82"/>
      <c r="K25" s="2"/>
      <c r="L25" s="80" t="s">
        <v>15</v>
      </c>
      <c r="M25" s="61">
        <f>IF(SelectScenario!$G$6="Non-Modulating",0,M24)</f>
        <v>28413</v>
      </c>
      <c r="N25" s="131" t="str">
        <f>IF(UNIT="SI-Unit","kW","BTU/HR")</f>
        <v>BTU/HR</v>
      </c>
      <c r="O25" s="59"/>
      <c r="P25" s="5"/>
      <c r="Q25" s="5"/>
      <c r="R25" s="5"/>
      <c r="S25" s="5"/>
      <c r="AH25" s="18"/>
    </row>
    <row r="26" spans="1:34">
      <c r="A26" s="65"/>
      <c r="B26" s="2"/>
      <c r="C26" s="82"/>
      <c r="D26" s="82"/>
      <c r="E26" s="11"/>
      <c r="F26" s="60"/>
      <c r="G26" s="15"/>
      <c r="H26" s="134"/>
      <c r="I26" s="82"/>
      <c r="J26" s="82"/>
      <c r="K26" s="2"/>
      <c r="L26" s="82"/>
      <c r="M26" s="82"/>
      <c r="N26" s="133"/>
      <c r="O26" s="59"/>
      <c r="P26" s="5"/>
      <c r="Q26" s="5"/>
      <c r="R26" s="5"/>
      <c r="S26" s="5"/>
      <c r="AH26" s="18"/>
    </row>
    <row r="27" spans="1:34">
      <c r="A27" s="65"/>
      <c r="B27" s="2"/>
      <c r="C27" s="2"/>
      <c r="D27" s="2"/>
      <c r="E27" s="2"/>
      <c r="F27" s="77" t="s">
        <v>41</v>
      </c>
      <c r="G27" s="15"/>
      <c r="H27" s="65"/>
      <c r="I27" s="2"/>
      <c r="J27" s="2"/>
      <c r="K27" s="2"/>
      <c r="L27" s="82"/>
      <c r="M27" s="78" t="s">
        <v>38</v>
      </c>
      <c r="N27" s="132"/>
      <c r="O27" s="1"/>
      <c r="AH27" s="18"/>
    </row>
    <row r="28" spans="1:34">
      <c r="A28" s="65"/>
      <c r="B28" s="2"/>
      <c r="C28" s="2"/>
      <c r="D28" s="2"/>
      <c r="E28" s="11" t="s">
        <v>16</v>
      </c>
      <c r="F28" s="14">
        <v>1047</v>
      </c>
      <c r="G28" s="15"/>
      <c r="H28" s="65"/>
      <c r="I28" s="2"/>
      <c r="J28" s="2"/>
      <c r="K28" s="2"/>
      <c r="L28" s="80" t="s">
        <v>16</v>
      </c>
      <c r="M28" s="14">
        <v>563</v>
      </c>
      <c r="N28" s="70"/>
      <c r="O28" s="1"/>
      <c r="AH28" s="18"/>
    </row>
    <row r="29" spans="1:34">
      <c r="A29" s="65"/>
      <c r="B29" s="2"/>
      <c r="C29" s="2"/>
      <c r="D29" s="2"/>
      <c r="E29" s="11" t="s">
        <v>15</v>
      </c>
      <c r="F29" s="61">
        <f>F28</f>
        <v>1047</v>
      </c>
      <c r="G29" s="15" t="str">
        <f>IF(UNIT="SI-Unit","kW","BTU/HR")</f>
        <v>BTU/HR</v>
      </c>
      <c r="H29" s="65"/>
      <c r="I29" s="2"/>
      <c r="J29" s="2"/>
      <c r="K29" s="2"/>
      <c r="L29" s="80" t="s">
        <v>15</v>
      </c>
      <c r="M29" s="61">
        <f>IF(SelectScenario!$G$6="Non-Modulating",0,M28)</f>
        <v>563</v>
      </c>
      <c r="N29" s="131" t="str">
        <f>IF(UNIT="SI-Unit","kW","BTU/HR")</f>
        <v>BTU/HR</v>
      </c>
      <c r="O29" s="1"/>
      <c r="AH29" s="18"/>
    </row>
    <row r="30" spans="1:34">
      <c r="A30" s="65"/>
      <c r="B30" s="2"/>
      <c r="C30" s="2"/>
      <c r="D30" s="2"/>
      <c r="E30" s="2"/>
      <c r="F30" s="81"/>
      <c r="G30" s="15"/>
      <c r="H30" s="65"/>
      <c r="I30" s="2"/>
      <c r="J30" s="2"/>
      <c r="K30" s="2"/>
      <c r="L30" s="2"/>
      <c r="M30" s="2"/>
      <c r="N30" s="131"/>
      <c r="O30" s="1"/>
      <c r="AH30" s="18"/>
    </row>
    <row r="31" spans="1:34">
      <c r="A31" s="65"/>
      <c r="B31" s="2"/>
      <c r="C31" s="2"/>
      <c r="D31" s="2"/>
      <c r="E31" s="2"/>
      <c r="F31" s="77" t="s">
        <v>42</v>
      </c>
      <c r="G31" s="15"/>
      <c r="H31" s="65"/>
      <c r="I31" s="2"/>
      <c r="J31" s="2"/>
      <c r="K31" s="2"/>
      <c r="L31" s="2"/>
      <c r="M31" s="78" t="s">
        <v>43</v>
      </c>
      <c r="N31" s="132"/>
      <c r="O31" s="1"/>
      <c r="AH31" s="18"/>
    </row>
    <row r="32" spans="1:34">
      <c r="A32" s="65"/>
      <c r="B32" s="2"/>
      <c r="C32" s="2"/>
      <c r="D32" s="2"/>
      <c r="E32" s="11" t="s">
        <v>16</v>
      </c>
      <c r="F32" s="14">
        <v>250</v>
      </c>
      <c r="G32" s="15"/>
      <c r="H32" s="65"/>
      <c r="I32" s="2"/>
      <c r="J32" s="2"/>
      <c r="K32" s="2"/>
      <c r="L32" s="80" t="s">
        <v>16</v>
      </c>
      <c r="M32" s="14">
        <v>230</v>
      </c>
      <c r="N32" s="70"/>
      <c r="O32" s="1"/>
      <c r="AH32" s="18"/>
    </row>
    <row r="33" spans="1:34">
      <c r="A33" s="65"/>
      <c r="B33" s="2"/>
      <c r="C33" s="2"/>
      <c r="D33" s="2"/>
      <c r="E33" s="11" t="s">
        <v>15</v>
      </c>
      <c r="F33" s="61">
        <f>F32</f>
        <v>250</v>
      </c>
      <c r="G33" s="15" t="str">
        <f>IF(UNIT="SI-Unit","C-Degree","F-Degree")</f>
        <v>F-Degree</v>
      </c>
      <c r="H33" s="65"/>
      <c r="I33" s="2"/>
      <c r="J33" s="2"/>
      <c r="K33" s="2"/>
      <c r="L33" s="80" t="s">
        <v>15</v>
      </c>
      <c r="M33" s="61">
        <f>IF(SelectScenario!$G$6="Non-Modulating",0,M32)</f>
        <v>230</v>
      </c>
      <c r="N33" s="131" t="str">
        <f>IF(UNIT="SI-Unit","C-Degree","F-Degree")</f>
        <v>F-Degree</v>
      </c>
    </row>
    <row r="34" spans="1:34">
      <c r="A34" s="65"/>
      <c r="B34" s="2"/>
      <c r="C34" s="2"/>
      <c r="D34" s="2"/>
      <c r="E34" s="11"/>
      <c r="F34" s="60"/>
      <c r="G34" s="15"/>
      <c r="H34" s="65"/>
      <c r="I34" s="2"/>
      <c r="J34" s="2"/>
      <c r="K34" s="2"/>
      <c r="L34" s="2"/>
      <c r="M34" s="2"/>
      <c r="N34" s="131"/>
    </row>
    <row r="35" spans="1:34">
      <c r="A35" s="65"/>
      <c r="B35" s="2"/>
      <c r="C35" s="2"/>
      <c r="D35" s="2"/>
      <c r="E35" s="2"/>
      <c r="F35" s="77" t="s">
        <v>400</v>
      </c>
      <c r="G35" s="15"/>
      <c r="H35" s="65"/>
      <c r="I35" s="2"/>
      <c r="J35" s="2"/>
      <c r="K35" s="2"/>
      <c r="L35" s="2"/>
      <c r="M35" s="78" t="s">
        <v>401</v>
      </c>
      <c r="N35" s="131"/>
    </row>
    <row r="36" spans="1:34">
      <c r="A36" s="65"/>
      <c r="B36" s="2"/>
      <c r="C36" s="2"/>
      <c r="D36" s="2"/>
      <c r="E36" s="11" t="s">
        <v>16</v>
      </c>
      <c r="F36" s="14">
        <v>230</v>
      </c>
      <c r="G36" s="15"/>
      <c r="H36" s="65"/>
      <c r="I36" s="2"/>
      <c r="J36" s="2"/>
      <c r="K36" s="2"/>
      <c r="L36" s="80" t="s">
        <v>16</v>
      </c>
      <c r="M36" s="14">
        <v>210</v>
      </c>
      <c r="N36" s="131"/>
    </row>
    <row r="37" spans="1:34" ht="15.75" thickBot="1">
      <c r="A37" s="65"/>
      <c r="B37" s="2"/>
      <c r="C37" s="2"/>
      <c r="D37" s="2"/>
      <c r="E37" s="11" t="s">
        <v>15</v>
      </c>
      <c r="F37" s="61">
        <f>F36</f>
        <v>230</v>
      </c>
      <c r="G37" s="15" t="str">
        <f>IF(UNIT="SI-Unit","C-Degree","F-Degree")</f>
        <v>F-Degree</v>
      </c>
      <c r="H37" s="65"/>
      <c r="I37" s="2"/>
      <c r="J37" s="2"/>
      <c r="K37" s="2"/>
      <c r="L37" s="80" t="s">
        <v>15</v>
      </c>
      <c r="M37" s="61">
        <f>IF(SelectScenario!$G$6="Non-Modulating",0,M36)</f>
        <v>210</v>
      </c>
      <c r="N37" s="131" t="str">
        <f>IF(UNIT="SI-Unit","C-Degree","F-Degree")</f>
        <v>F-Degree</v>
      </c>
    </row>
    <row r="38" spans="1:34" ht="15.75" thickBot="1">
      <c r="A38" s="65"/>
      <c r="B38" s="2"/>
      <c r="C38" s="2"/>
      <c r="D38" s="2"/>
      <c r="E38" s="11"/>
      <c r="F38" s="60"/>
      <c r="G38" s="15"/>
      <c r="H38" s="65"/>
      <c r="I38" s="2"/>
      <c r="J38" s="2"/>
      <c r="K38" s="2"/>
      <c r="L38" s="2"/>
      <c r="M38" s="2"/>
      <c r="N38" s="131"/>
      <c r="P38" s="139"/>
      <c r="Q38" s="140"/>
      <c r="R38" s="140"/>
      <c r="S38" s="140"/>
      <c r="T38" s="140"/>
      <c r="U38" s="140"/>
      <c r="V38" s="140"/>
      <c r="W38" s="154"/>
      <c r="X38" s="174" t="s">
        <v>179</v>
      </c>
    </row>
    <row r="39" spans="1:34">
      <c r="A39" s="65"/>
      <c r="B39" s="2"/>
      <c r="C39" s="2"/>
      <c r="D39" s="2"/>
      <c r="E39" s="11"/>
      <c r="F39" s="77" t="s">
        <v>48</v>
      </c>
      <c r="G39" s="15"/>
      <c r="H39" s="65"/>
      <c r="I39" s="2"/>
      <c r="J39" s="2"/>
      <c r="K39" s="2"/>
      <c r="L39" s="2"/>
      <c r="M39" s="78" t="s">
        <v>44</v>
      </c>
      <c r="N39" s="132"/>
      <c r="P39" s="65"/>
      <c r="Q39" s="2"/>
      <c r="R39" s="2"/>
      <c r="S39" s="2"/>
      <c r="T39" s="2"/>
      <c r="U39" s="2"/>
      <c r="V39" s="2"/>
      <c r="W39" s="8" t="s">
        <v>145</v>
      </c>
      <c r="X39" s="79"/>
    </row>
    <row r="40" spans="1:34">
      <c r="A40" s="65"/>
      <c r="B40" s="2"/>
      <c r="C40" s="2"/>
      <c r="D40" s="2"/>
      <c r="E40" s="11" t="s">
        <v>16</v>
      </c>
      <c r="F40" s="14">
        <v>10</v>
      </c>
      <c r="G40" s="15"/>
      <c r="H40" s="65"/>
      <c r="I40" s="2"/>
      <c r="J40" s="2"/>
      <c r="K40" s="2"/>
      <c r="L40" s="80" t="s">
        <v>16</v>
      </c>
      <c r="M40" s="14">
        <v>10</v>
      </c>
      <c r="N40" s="70"/>
      <c r="P40" s="65"/>
      <c r="Q40" s="2"/>
      <c r="R40" s="2"/>
      <c r="S40" s="2"/>
      <c r="T40" s="2"/>
      <c r="U40" s="2"/>
      <c r="V40" s="2"/>
      <c r="W40" s="84" t="str">
        <f>IF(OR(SYSTEMNUMBER=5,SYSTEMNUMBER=6,SYSTEMNUMBER=8),"(The stack parameters are required for the system "&amp;SYSTEMNUMBER&amp;")","(The stack parameters are not required)")</f>
        <v>(The stack parameters are not required)</v>
      </c>
      <c r="X40" s="79"/>
    </row>
    <row r="41" spans="1:34">
      <c r="A41" s="65"/>
      <c r="B41" s="2"/>
      <c r="C41" s="2"/>
      <c r="D41" s="2"/>
      <c r="E41" s="11" t="s">
        <v>15</v>
      </c>
      <c r="F41" s="61">
        <f>F40</f>
        <v>10</v>
      </c>
      <c r="G41" s="15" t="s">
        <v>93</v>
      </c>
      <c r="H41" s="65"/>
      <c r="I41" s="2"/>
      <c r="J41" s="2"/>
      <c r="K41" s="2"/>
      <c r="L41" s="80" t="s">
        <v>15</v>
      </c>
      <c r="M41" s="61">
        <f>IF(SelectScenario!$G$6="Non-Modulating",0,M40)</f>
        <v>10</v>
      </c>
      <c r="N41" s="135" t="s">
        <v>93</v>
      </c>
      <c r="O41" s="1"/>
      <c r="P41" s="65"/>
      <c r="Q41" s="2"/>
      <c r="R41" s="2"/>
      <c r="S41" s="2"/>
      <c r="T41" s="2"/>
      <c r="U41" s="2"/>
      <c r="V41" s="2"/>
      <c r="W41" s="2"/>
      <c r="X41" s="79"/>
      <c r="AH41" s="18"/>
    </row>
    <row r="42" spans="1:34">
      <c r="A42" s="65"/>
      <c r="B42" s="2"/>
      <c r="C42" s="2"/>
      <c r="D42" s="2"/>
      <c r="E42" s="11"/>
      <c r="F42" s="60"/>
      <c r="G42" s="15"/>
      <c r="H42" s="65"/>
      <c r="I42" s="2"/>
      <c r="J42" s="2"/>
      <c r="K42" s="2"/>
      <c r="L42" s="80"/>
      <c r="M42" s="60"/>
      <c r="N42" s="135"/>
      <c r="O42" s="1"/>
      <c r="P42" s="65"/>
      <c r="Q42" s="15"/>
      <c r="R42" s="11" t="s">
        <v>192</v>
      </c>
      <c r="S42" s="2"/>
      <c r="T42" s="2"/>
      <c r="U42" s="2"/>
      <c r="V42" s="2"/>
      <c r="W42" s="11" t="s">
        <v>131</v>
      </c>
      <c r="X42" s="131"/>
      <c r="AH42" s="18"/>
    </row>
    <row r="43" spans="1:34">
      <c r="A43" s="65"/>
      <c r="B43" s="2"/>
      <c r="C43" s="2"/>
      <c r="D43" s="2"/>
      <c r="E43" s="11"/>
      <c r="F43" s="77" t="s">
        <v>64</v>
      </c>
      <c r="G43" s="15"/>
      <c r="H43" s="65"/>
      <c r="I43" s="2"/>
      <c r="J43" s="2"/>
      <c r="K43" s="2"/>
      <c r="L43" s="2"/>
      <c r="M43" s="78" t="s">
        <v>65</v>
      </c>
      <c r="N43" s="136"/>
      <c r="P43" s="65"/>
      <c r="Q43" s="11" t="s">
        <v>190</v>
      </c>
      <c r="R43" s="130">
        <v>1</v>
      </c>
      <c r="S43" s="2" t="s">
        <v>117</v>
      </c>
      <c r="T43" s="2"/>
      <c r="U43" s="2"/>
      <c r="V43" s="8" t="s">
        <v>132</v>
      </c>
      <c r="W43" s="130">
        <v>36</v>
      </c>
      <c r="X43" s="131" t="str">
        <f>IF(UNIT="SI-Unit","cm2","in2")</f>
        <v>in2</v>
      </c>
    </row>
    <row r="44" spans="1:34">
      <c r="A44" s="65"/>
      <c r="B44" s="2"/>
      <c r="C44" s="2"/>
      <c r="D44" s="2"/>
      <c r="E44" s="11" t="s">
        <v>16</v>
      </c>
      <c r="F44" s="14">
        <v>8</v>
      </c>
      <c r="G44" s="15"/>
      <c r="H44" s="65"/>
      <c r="I44" s="2"/>
      <c r="J44" s="2"/>
      <c r="K44" s="2"/>
      <c r="L44" s="80" t="s">
        <v>16</v>
      </c>
      <c r="M44" s="14">
        <v>8</v>
      </c>
      <c r="N44" s="137"/>
      <c r="P44" s="65"/>
      <c r="Q44" s="15"/>
      <c r="R44" s="15"/>
      <c r="S44" s="2"/>
      <c r="T44" s="2"/>
      <c r="U44" s="2"/>
      <c r="V44" s="2"/>
      <c r="W44" s="15"/>
      <c r="X44" s="131"/>
    </row>
    <row r="45" spans="1:34">
      <c r="A45" s="65"/>
      <c r="B45" s="2"/>
      <c r="C45" s="2"/>
      <c r="D45" s="2"/>
      <c r="E45" s="11" t="s">
        <v>15</v>
      </c>
      <c r="F45" s="61">
        <f>F44</f>
        <v>8</v>
      </c>
      <c r="G45" s="15" t="s">
        <v>93</v>
      </c>
      <c r="H45" s="65"/>
      <c r="I45" s="2"/>
      <c r="J45" s="2"/>
      <c r="K45" s="2"/>
      <c r="L45" s="80" t="s">
        <v>15</v>
      </c>
      <c r="M45" s="61">
        <f>IF(SelectScenario!$G$6="Non-Modulating",0,M44)</f>
        <v>8</v>
      </c>
      <c r="N45" s="135" t="s">
        <v>93</v>
      </c>
      <c r="O45" s="1"/>
      <c r="P45" s="65"/>
      <c r="Q45" s="15"/>
      <c r="R45" s="11" t="s">
        <v>193</v>
      </c>
      <c r="S45" s="2"/>
      <c r="T45" s="2"/>
      <c r="U45" s="2"/>
      <c r="V45" s="2"/>
      <c r="W45" s="11" t="s">
        <v>133</v>
      </c>
      <c r="X45" s="131"/>
      <c r="AH45" s="18"/>
    </row>
    <row r="46" spans="1:34" ht="18">
      <c r="A46" s="65"/>
      <c r="B46" s="2"/>
      <c r="C46" s="2"/>
      <c r="D46" s="2"/>
      <c r="E46" s="11"/>
      <c r="F46" s="60"/>
      <c r="G46" s="15"/>
      <c r="H46" s="65"/>
      <c r="I46" s="2"/>
      <c r="J46" s="2"/>
      <c r="K46" s="2"/>
      <c r="L46" s="80"/>
      <c r="M46" s="60"/>
      <c r="N46" s="86"/>
      <c r="O46" s="1"/>
      <c r="P46" s="65"/>
      <c r="Q46" s="11" t="s">
        <v>191</v>
      </c>
      <c r="R46" s="130">
        <v>5</v>
      </c>
      <c r="S46" s="2" t="s">
        <v>117</v>
      </c>
      <c r="T46" s="2"/>
      <c r="U46" s="2"/>
      <c r="V46" s="8" t="s">
        <v>134</v>
      </c>
      <c r="W46" s="130">
        <v>36</v>
      </c>
      <c r="X46" s="131" t="str">
        <f>IF(UNIT="SI-Unit","cm2","in2")</f>
        <v>in2</v>
      </c>
      <c r="AH46" s="18"/>
    </row>
    <row r="47" spans="1:34">
      <c r="A47" s="65"/>
      <c r="B47" s="2"/>
      <c r="C47" s="2"/>
      <c r="D47" s="2"/>
      <c r="E47" s="2"/>
      <c r="F47" s="77" t="s">
        <v>45</v>
      </c>
      <c r="G47" s="15"/>
      <c r="H47" s="65"/>
      <c r="I47" s="2"/>
      <c r="J47" s="2"/>
      <c r="K47" s="2"/>
      <c r="L47" s="2"/>
      <c r="M47" s="78" t="s">
        <v>46</v>
      </c>
      <c r="N47" s="132"/>
      <c r="O47" s="1"/>
      <c r="P47" s="65"/>
      <c r="Q47" s="2"/>
      <c r="R47" s="2"/>
      <c r="S47" s="2"/>
      <c r="T47" s="2"/>
      <c r="U47" s="2"/>
      <c r="V47" s="2"/>
      <c r="W47" s="15"/>
      <c r="X47" s="131"/>
      <c r="AH47" s="18"/>
    </row>
    <row r="48" spans="1:34">
      <c r="A48" s="65"/>
      <c r="B48" s="2"/>
      <c r="C48" s="2"/>
      <c r="D48" s="2"/>
      <c r="E48" s="2"/>
      <c r="F48" s="11" t="str">
        <f>IF(DATAINPUTncm!$G$5="(Condensing","Note: Measured condensate is required)","(Note: Measured condensate is not required)")</f>
        <v>(Note: Measured condensate is not required)</v>
      </c>
      <c r="G48" s="15"/>
      <c r="H48" s="65"/>
      <c r="I48" s="2"/>
      <c r="J48" s="2"/>
      <c r="K48" s="2"/>
      <c r="L48" s="2"/>
      <c r="M48" s="80" t="str">
        <f>IF(DATAINPUTncm!$G$5="(Condensing","Note: Measured condensate is required)","(Note: Measured condensate is not required)")</f>
        <v>(Note: Measured condensate is not required)</v>
      </c>
      <c r="N48" s="132"/>
      <c r="O48" s="1"/>
      <c r="P48" s="65"/>
      <c r="Q48" s="2"/>
      <c r="R48" s="2"/>
      <c r="S48" s="2"/>
      <c r="T48" s="2"/>
      <c r="U48" s="2"/>
      <c r="V48" s="2"/>
      <c r="W48" s="11" t="s">
        <v>136</v>
      </c>
      <c r="X48" s="131"/>
      <c r="AH48" s="18"/>
    </row>
    <row r="49" spans="1:34" ht="18">
      <c r="A49" s="65"/>
      <c r="B49" s="2"/>
      <c r="C49" s="2"/>
      <c r="D49" s="2"/>
      <c r="E49" s="11" t="s">
        <v>16</v>
      </c>
      <c r="F49" s="14">
        <v>0</v>
      </c>
      <c r="G49" s="15"/>
      <c r="H49" s="65"/>
      <c r="I49" s="2"/>
      <c r="J49" s="2"/>
      <c r="K49" s="2"/>
      <c r="L49" s="80" t="s">
        <v>16</v>
      </c>
      <c r="M49" s="14">
        <v>0</v>
      </c>
      <c r="N49" s="70"/>
      <c r="O49" s="1"/>
      <c r="P49" s="65"/>
      <c r="Q49" s="2"/>
      <c r="R49" s="2"/>
      <c r="S49" s="2"/>
      <c r="T49" s="2"/>
      <c r="U49" s="2"/>
      <c r="V49" s="8" t="s">
        <v>137</v>
      </c>
      <c r="W49" s="130">
        <v>2</v>
      </c>
      <c r="X49" s="131" t="str">
        <f>IF(UNIT="SI-Unit","cm2","in2")</f>
        <v>in2</v>
      </c>
      <c r="AH49" s="18"/>
    </row>
    <row r="50" spans="1:34">
      <c r="A50" s="65"/>
      <c r="B50" s="2"/>
      <c r="C50" s="2"/>
      <c r="E50" s="11" t="s">
        <v>15</v>
      </c>
      <c r="F50" s="61">
        <f>IF(SelectScenario!$G$4="Condensing",DATAINPUTncm!F49,0)</f>
        <v>0</v>
      </c>
      <c r="G50" s="15" t="str">
        <f>IF(UNIT="SI-Unit","KG/HR","LB/HR")</f>
        <v>LB/HR</v>
      </c>
      <c r="H50" s="65"/>
      <c r="I50" s="2"/>
      <c r="J50" s="2"/>
      <c r="K50" s="2"/>
      <c r="L50" s="80" t="s">
        <v>15</v>
      </c>
      <c r="M50" s="61">
        <f>IF(SelectScenario!$G$6="Non-Modulating",0,M49)</f>
        <v>0</v>
      </c>
      <c r="N50" s="131" t="str">
        <f>IF(UNIT="SI-Unit","KG/HR","LD/HR")</f>
        <v>LD/HR</v>
      </c>
      <c r="O50" s="1"/>
      <c r="P50" s="65"/>
      <c r="Q50" s="2"/>
      <c r="R50" s="2"/>
      <c r="S50" s="2"/>
      <c r="T50" s="2"/>
      <c r="U50" s="2"/>
      <c r="V50" s="2"/>
      <c r="W50" s="15"/>
      <c r="X50" s="131"/>
      <c r="AH50" s="18"/>
    </row>
    <row r="51" spans="1:34">
      <c r="A51" s="65"/>
      <c r="B51" s="2"/>
      <c r="C51" s="2"/>
      <c r="D51" s="2"/>
      <c r="E51" s="11"/>
      <c r="F51" s="60"/>
      <c r="G51" s="15"/>
      <c r="H51" s="65"/>
      <c r="I51" s="2"/>
      <c r="J51" s="2"/>
      <c r="K51" s="2"/>
      <c r="L51" s="80"/>
      <c r="M51" s="60"/>
      <c r="N51" s="86"/>
      <c r="O51" s="1"/>
      <c r="P51" s="65"/>
      <c r="Q51" s="2"/>
      <c r="R51" s="2"/>
      <c r="S51" s="2"/>
      <c r="T51" s="2"/>
      <c r="U51" s="2"/>
      <c r="V51" s="2"/>
      <c r="W51" s="11" t="s">
        <v>138</v>
      </c>
      <c r="X51" s="131"/>
      <c r="AH51" s="18"/>
    </row>
    <row r="52" spans="1:34" ht="18">
      <c r="A52" s="65"/>
      <c r="B52" s="2"/>
      <c r="C52" s="2"/>
      <c r="D52" s="2"/>
      <c r="E52" s="11"/>
      <c r="F52" s="77" t="s">
        <v>63</v>
      </c>
      <c r="G52" s="15"/>
      <c r="H52" s="65"/>
      <c r="I52" s="2"/>
      <c r="J52" s="2"/>
      <c r="K52" s="2"/>
      <c r="L52" s="80"/>
      <c r="M52" s="78" t="s">
        <v>63</v>
      </c>
      <c r="N52" s="86"/>
      <c r="O52" s="1"/>
      <c r="P52" s="65"/>
      <c r="Q52" s="2"/>
      <c r="R52" s="2"/>
      <c r="S52" s="2"/>
      <c r="T52" s="2"/>
      <c r="U52" s="2"/>
      <c r="V52" s="8" t="s">
        <v>142</v>
      </c>
      <c r="W52" s="130">
        <v>2</v>
      </c>
      <c r="X52" s="131" t="str">
        <f>IF(UNIT="SI-Unit","cm2","in2")</f>
        <v>in2</v>
      </c>
      <c r="AH52" s="18"/>
    </row>
    <row r="53" spans="1:34">
      <c r="A53" s="65"/>
      <c r="B53" s="2"/>
      <c r="C53" s="2"/>
      <c r="D53" s="2"/>
      <c r="E53" s="2"/>
      <c r="F53" s="14">
        <v>85</v>
      </c>
      <c r="G53" s="15"/>
      <c r="H53" s="65"/>
      <c r="I53" s="2"/>
      <c r="J53" s="2"/>
      <c r="K53" s="2"/>
      <c r="L53" s="2"/>
      <c r="M53" s="14">
        <v>85</v>
      </c>
      <c r="N53" s="131"/>
      <c r="P53" s="65"/>
      <c r="Q53" s="2"/>
      <c r="R53" s="2"/>
      <c r="S53" s="2"/>
      <c r="T53" s="2"/>
      <c r="U53" s="2"/>
      <c r="V53" s="2"/>
      <c r="W53" s="15"/>
      <c r="X53" s="131"/>
    </row>
    <row r="54" spans="1:34">
      <c r="A54" s="65"/>
      <c r="B54" s="2"/>
      <c r="C54" s="2"/>
      <c r="D54" s="2"/>
      <c r="E54" s="2"/>
      <c r="F54" s="61">
        <f>F53</f>
        <v>85</v>
      </c>
      <c r="G54" s="15" t="str">
        <f>IF(UNIT="SI-Unit","C-Degree","F-Degree")</f>
        <v>F-Degree</v>
      </c>
      <c r="H54" s="65"/>
      <c r="I54" s="2"/>
      <c r="J54" s="2"/>
      <c r="K54" s="2"/>
      <c r="L54" s="2"/>
      <c r="M54" s="61">
        <f>M53</f>
        <v>85</v>
      </c>
      <c r="N54" s="131" t="str">
        <f>IF(UNIT="SI-Unit","C-Degree","F-Degree")</f>
        <v>F-Degree</v>
      </c>
      <c r="P54" s="65"/>
      <c r="Q54" s="2"/>
      <c r="R54" s="2"/>
      <c r="S54" s="2"/>
      <c r="T54" s="2"/>
      <c r="U54" s="2"/>
      <c r="V54" s="2"/>
      <c r="W54" s="11" t="s">
        <v>139</v>
      </c>
      <c r="X54" s="131"/>
    </row>
    <row r="55" spans="1:34">
      <c r="A55" s="65"/>
      <c r="B55" s="2"/>
      <c r="C55" s="2"/>
      <c r="D55" s="2"/>
      <c r="E55" s="2"/>
      <c r="F55" s="60"/>
      <c r="G55" s="15"/>
      <c r="H55" s="65"/>
      <c r="I55" s="2"/>
      <c r="J55" s="2"/>
      <c r="K55" s="2"/>
      <c r="L55" s="2"/>
      <c r="M55" s="2"/>
      <c r="N55" s="131"/>
      <c r="P55" s="65"/>
      <c r="Q55" s="2"/>
      <c r="R55" s="2"/>
      <c r="S55" s="2"/>
      <c r="T55" s="2"/>
      <c r="U55" s="2"/>
      <c r="V55" s="141" t="s">
        <v>140</v>
      </c>
      <c r="W55" s="130">
        <v>90</v>
      </c>
      <c r="X55" s="131" t="s">
        <v>143</v>
      </c>
    </row>
    <row r="56" spans="1:34">
      <c r="A56" s="65"/>
      <c r="B56" s="2"/>
      <c r="C56" s="2"/>
      <c r="D56" s="2"/>
      <c r="E56" s="2"/>
      <c r="F56" s="77" t="s">
        <v>49</v>
      </c>
      <c r="G56" s="15"/>
      <c r="H56" s="65"/>
      <c r="I56" s="2"/>
      <c r="J56" s="2"/>
      <c r="K56" s="2"/>
      <c r="L56" s="2"/>
      <c r="M56" s="365" t="s">
        <v>376</v>
      </c>
      <c r="N56" s="131"/>
      <c r="O56" s="1"/>
      <c r="P56" s="65"/>
      <c r="Q56" s="2"/>
      <c r="R56" s="2"/>
      <c r="S56" s="2"/>
      <c r="T56" s="2"/>
      <c r="U56" s="2"/>
      <c r="V56" s="2"/>
      <c r="W56" s="15"/>
      <c r="X56" s="131"/>
      <c r="AH56" s="18"/>
    </row>
    <row r="57" spans="1:34">
      <c r="A57" s="65"/>
      <c r="B57" s="2"/>
      <c r="C57" s="2"/>
      <c r="D57" s="2"/>
      <c r="E57" s="11" t="s">
        <v>16</v>
      </c>
      <c r="F57" s="14">
        <v>74</v>
      </c>
      <c r="G57" s="15"/>
      <c r="H57" s="65"/>
      <c r="I57" s="2"/>
      <c r="J57" s="2"/>
      <c r="L57" s="80" t="s">
        <v>16</v>
      </c>
      <c r="M57" s="14">
        <f>F57</f>
        <v>74</v>
      </c>
      <c r="N57" s="131"/>
      <c r="O57" s="1"/>
      <c r="P57" s="65"/>
      <c r="Q57" s="2"/>
      <c r="R57" s="2"/>
      <c r="S57" s="2"/>
      <c r="T57" s="2"/>
      <c r="U57" s="2"/>
      <c r="V57" s="2"/>
      <c r="W57" s="11" t="s">
        <v>135</v>
      </c>
      <c r="X57" s="131"/>
      <c r="AH57" s="18"/>
    </row>
    <row r="58" spans="1:34" ht="18">
      <c r="A58" s="65"/>
      <c r="B58" s="2"/>
      <c r="C58" s="2"/>
      <c r="D58" s="2"/>
      <c r="E58" s="11" t="s">
        <v>15</v>
      </c>
      <c r="F58" s="61">
        <f>F57</f>
        <v>74</v>
      </c>
      <c r="G58" s="15" t="str">
        <f>IF(UNIT="SI-Unit","C-Degree","F-Degree")</f>
        <v>F-Degree</v>
      </c>
      <c r="H58" s="65"/>
      <c r="I58" s="2"/>
      <c r="J58" s="2"/>
      <c r="K58" s="2"/>
      <c r="L58" s="80" t="s">
        <v>15</v>
      </c>
      <c r="M58" s="61">
        <f>M57</f>
        <v>74</v>
      </c>
      <c r="N58" s="131" t="str">
        <f>IF(UNIT="SI-Unit","C-Degree","F-Degree")</f>
        <v>F-Degree</v>
      </c>
      <c r="O58" s="1"/>
      <c r="P58" s="65"/>
      <c r="Q58" s="2"/>
      <c r="R58" s="2"/>
      <c r="S58" s="2"/>
      <c r="T58" s="2"/>
      <c r="U58" s="2"/>
      <c r="V58" s="8" t="s">
        <v>141</v>
      </c>
      <c r="W58" s="143">
        <f>W49*COS(W55*3.14/180)+W52</f>
        <v>2.0015926534214663</v>
      </c>
      <c r="X58" s="131" t="str">
        <f>IF(UNIT="SI-Unit","cm2","in2")</f>
        <v>in2</v>
      </c>
      <c r="AH58" s="18"/>
    </row>
    <row r="59" spans="1:34" ht="15.75" thickBot="1">
      <c r="A59" s="71"/>
      <c r="B59" s="72"/>
      <c r="C59" s="72"/>
      <c r="D59" s="72"/>
      <c r="E59" s="72"/>
      <c r="F59" s="83"/>
      <c r="G59" s="72"/>
      <c r="H59" s="71"/>
      <c r="I59" s="72"/>
      <c r="J59" s="72"/>
      <c r="K59" s="72"/>
      <c r="L59" s="72"/>
      <c r="M59" s="72"/>
      <c r="N59" s="74"/>
      <c r="O59" s="1"/>
      <c r="P59" s="71"/>
      <c r="Q59" s="72"/>
      <c r="R59" s="72"/>
      <c r="S59" s="72"/>
      <c r="T59" s="72"/>
      <c r="U59" s="72"/>
      <c r="V59" s="72"/>
      <c r="W59" s="72"/>
      <c r="X59" s="74"/>
      <c r="AH59" s="18"/>
    </row>
    <row r="60" spans="1:34" ht="15.75" thickBot="1">
      <c r="A60" s="2"/>
      <c r="B60" s="2"/>
      <c r="C60" s="2"/>
      <c r="D60" s="2"/>
      <c r="E60" s="2"/>
      <c r="F60" s="81"/>
      <c r="G60" s="2"/>
      <c r="H60" s="2"/>
      <c r="I60" s="2"/>
      <c r="J60" s="2"/>
      <c r="K60" s="2"/>
      <c r="L60" s="2"/>
      <c r="M60" s="2"/>
      <c r="N60" s="2"/>
      <c r="O60" s="1"/>
      <c r="AH60" s="18"/>
    </row>
    <row r="61" spans="1:34" ht="16.5" thickBot="1">
      <c r="A61" s="95" t="s">
        <v>25</v>
      </c>
      <c r="B61" s="95"/>
      <c r="C61" s="96"/>
      <c r="D61" s="96"/>
      <c r="E61" s="96"/>
      <c r="F61" s="97"/>
      <c r="G61" s="96"/>
      <c r="H61" s="96"/>
      <c r="I61" s="96"/>
      <c r="J61" s="96"/>
      <c r="K61" s="96"/>
      <c r="L61" s="96"/>
      <c r="M61" s="96"/>
      <c r="N61" s="98"/>
      <c r="P61" s="139"/>
      <c r="Q61" s="140"/>
      <c r="R61" s="140"/>
      <c r="S61" s="140"/>
      <c r="T61" s="140"/>
      <c r="U61" s="140"/>
      <c r="V61" s="140"/>
      <c r="W61" s="178" t="s">
        <v>182</v>
      </c>
      <c r="X61" s="175"/>
      <c r="AH61" s="18"/>
    </row>
    <row r="62" spans="1:34">
      <c r="A62" s="62"/>
      <c r="B62" s="63"/>
      <c r="C62" s="63"/>
      <c r="D62" s="63"/>
      <c r="E62" s="63"/>
      <c r="F62" s="102" t="s">
        <v>59</v>
      </c>
      <c r="G62" s="64"/>
      <c r="H62" s="62"/>
      <c r="I62" s="63"/>
      <c r="J62" s="63"/>
      <c r="K62" s="63"/>
      <c r="L62" s="63"/>
      <c r="M62" s="103" t="s">
        <v>56</v>
      </c>
      <c r="N62" s="64"/>
      <c r="P62" s="62"/>
      <c r="Q62" s="63"/>
      <c r="R62" s="63"/>
      <c r="S62" s="63"/>
      <c r="T62" s="63"/>
      <c r="U62" s="63"/>
      <c r="V62" s="63"/>
      <c r="W62" s="75" t="s">
        <v>183</v>
      </c>
      <c r="X62" s="64"/>
      <c r="AH62" s="18"/>
    </row>
    <row r="63" spans="1:34">
      <c r="A63" s="65"/>
      <c r="B63" s="2"/>
      <c r="C63" s="2"/>
      <c r="D63" s="2"/>
      <c r="E63" s="2"/>
      <c r="F63" s="88" t="str">
        <f>IF(SelectScenario!$G$6="Non-Modulating","(The maximum parameters are required@"&amp;SelectScenario!$G$6&amp;")",IF(SelectScenario!$G$6="Step-Modulating","The maximum parameters are not required@"&amp;SelectScenario!$G$6&amp;")","(The maximum parameters are required@"&amp;SelectScenario!$G$6&amp;")"))</f>
        <v>The maximum parameters are not required@Step-Modulating)</v>
      </c>
      <c r="G63" s="79"/>
      <c r="H63" s="65"/>
      <c r="I63" s="2"/>
      <c r="J63" s="2"/>
      <c r="K63" s="2"/>
      <c r="L63" s="2"/>
      <c r="M63" s="84" t="str">
        <f>IF(SelectScenario!$G$6="Non-Modulating","(The reduced parameters are not required@"&amp;SelectScenario!$G$6&amp;")",IF(SelectScenario!$G$6="Step-Modulating","The maximum parameters are required@"&amp;SelectScenario!$G$6&amp;")","(The maximum parameters are required@"&amp;SelectScenario!$G$6&amp;")"))</f>
        <v>The maximum parameters are required@Step-Modulating)</v>
      </c>
      <c r="N63" s="79"/>
      <c r="P63" s="65"/>
      <c r="Q63" s="2"/>
      <c r="R63" s="2"/>
      <c r="S63" s="2"/>
      <c r="T63" s="2"/>
      <c r="U63" s="2"/>
      <c r="V63" s="2"/>
      <c r="W63" s="2"/>
      <c r="X63" s="79"/>
      <c r="AH63" s="18"/>
    </row>
    <row r="64" spans="1:34">
      <c r="A64" s="65"/>
      <c r="B64" s="2"/>
      <c r="C64" s="2"/>
      <c r="D64" s="2"/>
      <c r="E64" s="2"/>
      <c r="F64" s="88"/>
      <c r="G64" s="79"/>
      <c r="H64" s="134"/>
      <c r="I64" s="82"/>
      <c r="J64" s="82"/>
      <c r="K64" s="82"/>
      <c r="L64" s="82"/>
      <c r="M64" s="84"/>
      <c r="N64" s="194"/>
      <c r="P64" s="65"/>
      <c r="Q64" s="2"/>
      <c r="R64" s="2"/>
      <c r="S64" s="2"/>
      <c r="T64" s="2"/>
      <c r="U64" s="2"/>
      <c r="V64" s="2"/>
      <c r="W64" s="2"/>
      <c r="X64" s="79"/>
      <c r="AH64" s="18"/>
    </row>
    <row r="65" spans="1:34">
      <c r="A65" s="125" t="s">
        <v>29</v>
      </c>
      <c r="B65" s="2"/>
      <c r="C65" s="2"/>
      <c r="D65" s="2"/>
      <c r="E65" s="2"/>
      <c r="F65" s="77" t="s">
        <v>28</v>
      </c>
      <c r="G65" s="79"/>
      <c r="H65" s="127" t="s">
        <v>29</v>
      </c>
      <c r="I65" s="82"/>
      <c r="J65" s="2"/>
      <c r="K65" s="2"/>
      <c r="L65" s="2"/>
      <c r="M65" s="78" t="s">
        <v>28</v>
      </c>
      <c r="N65" s="194"/>
      <c r="P65" s="65"/>
      <c r="Q65" s="2"/>
      <c r="R65" s="2"/>
      <c r="S65" s="368" t="s">
        <v>181</v>
      </c>
      <c r="T65" s="2"/>
      <c r="U65" s="2"/>
      <c r="V65" s="2"/>
      <c r="W65" s="368" t="s">
        <v>180</v>
      </c>
      <c r="X65" s="79"/>
      <c r="AH65" s="18"/>
    </row>
    <row r="66" spans="1:34">
      <c r="A66" s="191">
        <f>A86+1.5</f>
        <v>3.5</v>
      </c>
      <c r="B66" s="2" t="s">
        <v>117</v>
      </c>
      <c r="C66" s="2"/>
      <c r="D66" s="2"/>
      <c r="E66" s="81" t="str">
        <f>IF($M$3="YES","tp is pos-purge period","N/A")</f>
        <v>N/A</v>
      </c>
      <c r="F66" s="14">
        <v>120</v>
      </c>
      <c r="G66" s="79"/>
      <c r="H66" s="128">
        <f>H86+1.5</f>
        <v>3.5</v>
      </c>
      <c r="I66" s="82" t="s">
        <v>117</v>
      </c>
      <c r="J66" s="2"/>
      <c r="K66" s="2"/>
      <c r="L66" s="78" t="str">
        <f>IF($M$3="YES","tp is pos-purge period","N/A")</f>
        <v>N/A</v>
      </c>
      <c r="M66" s="196">
        <v>120</v>
      </c>
      <c r="N66" s="194"/>
      <c r="P66" s="65"/>
      <c r="Q66" s="2"/>
      <c r="R66" s="2"/>
      <c r="S66" s="177">
        <v>144</v>
      </c>
      <c r="T66" s="15" t="str">
        <f>IF(UNIT="SI-Unit","cm2","in2")</f>
        <v>in2</v>
      </c>
      <c r="U66" s="2"/>
      <c r="V66" s="11" t="s">
        <v>377</v>
      </c>
      <c r="W66" s="177">
        <v>92</v>
      </c>
      <c r="X66" s="79" t="str">
        <f>IF(UNIT="SI-Unit","C-Degree","F-Degree")</f>
        <v>F-Degree</v>
      </c>
      <c r="AH66" s="18"/>
    </row>
    <row r="67" spans="1:34">
      <c r="A67" s="125"/>
      <c r="B67" s="2"/>
      <c r="C67" s="2"/>
      <c r="D67" s="2"/>
      <c r="E67" s="81" t="str">
        <f>IF($M$3="YES","Note: t3=tp+1.5min after a burner shuts off","Note: t3=1.5min after a burner shuts off")</f>
        <v>Note: t3=1.5min after a burner shuts off</v>
      </c>
      <c r="F67" s="61">
        <f>IF(F66&lt;=F75,F75+0.2,IF(F66&lt;=F71,F71+0.1,F66))</f>
        <v>120</v>
      </c>
      <c r="G67" s="79" t="str">
        <f>IF(UNIT="SI-Unit","C-Degree","F-Degree")</f>
        <v>F-Degree</v>
      </c>
      <c r="H67" s="127"/>
      <c r="I67" s="82"/>
      <c r="J67" s="2"/>
      <c r="K67" s="2"/>
      <c r="L67" s="78" t="str">
        <f>IF($M$3="YES","Note: t3=tp+1.5min after a burner shuts off","Note: t3=1.5min after a burner shuts off")</f>
        <v>Note: t3=1.5min after a burner shuts off</v>
      </c>
      <c r="M67" s="205">
        <f>IF(M66&lt;=M75,M75+0.2,IF(M66&lt;=M71,M71+0.1,M66))</f>
        <v>120</v>
      </c>
      <c r="N67" s="194" t="str">
        <f>IF(UNIT="SI-Unit","C-Degree","F-Degree")</f>
        <v>F-Degree</v>
      </c>
      <c r="P67" s="65"/>
      <c r="Q67" s="2"/>
      <c r="R67" s="2"/>
      <c r="S67" s="2"/>
      <c r="T67" s="2"/>
      <c r="U67" s="2"/>
      <c r="V67" s="11" t="s">
        <v>378</v>
      </c>
      <c r="W67" s="177">
        <v>92</v>
      </c>
      <c r="X67" s="79" t="str">
        <f>IF(UNIT="SI-Unit","C-Degree","F-Degree")</f>
        <v>F-Degree</v>
      </c>
      <c r="AH67" s="18"/>
    </row>
    <row r="68" spans="1:34">
      <c r="A68" s="65"/>
      <c r="B68" s="2"/>
      <c r="C68" s="2"/>
      <c r="D68" s="2"/>
      <c r="E68" s="2"/>
      <c r="F68" s="8"/>
      <c r="G68" s="79"/>
      <c r="H68" s="2"/>
      <c r="I68" s="2"/>
      <c r="J68" s="2"/>
      <c r="K68" s="2"/>
      <c r="L68" s="94"/>
      <c r="M68" s="195"/>
      <c r="N68" s="194"/>
      <c r="P68" s="65"/>
      <c r="Q68" s="2"/>
      <c r="R68" s="2"/>
      <c r="S68" s="368" t="s">
        <v>181</v>
      </c>
      <c r="T68" s="2"/>
      <c r="U68" s="2"/>
      <c r="V68" s="2"/>
      <c r="W68" s="368" t="s">
        <v>180</v>
      </c>
      <c r="X68" s="79"/>
      <c r="AH68" s="18"/>
    </row>
    <row r="69" spans="1:34">
      <c r="A69" s="125" t="s">
        <v>31</v>
      </c>
      <c r="B69" s="2"/>
      <c r="C69" s="2"/>
      <c r="D69" s="2"/>
      <c r="E69" s="2"/>
      <c r="F69" s="77" t="s">
        <v>32</v>
      </c>
      <c r="G69" s="79"/>
      <c r="H69" s="127" t="s">
        <v>31</v>
      </c>
      <c r="I69" s="82"/>
      <c r="J69" s="2"/>
      <c r="K69" s="2"/>
      <c r="L69" s="94"/>
      <c r="M69" s="78" t="s">
        <v>32</v>
      </c>
      <c r="N69" s="194"/>
      <c r="P69" s="65"/>
      <c r="Q69" s="2"/>
      <c r="R69" s="2"/>
      <c r="S69" s="177">
        <v>3140</v>
      </c>
      <c r="T69" s="15" t="str">
        <f>IF(UNIT="SI-Unit","cm2","in2")</f>
        <v>in2</v>
      </c>
      <c r="U69" s="2"/>
      <c r="V69" s="11" t="s">
        <v>377</v>
      </c>
      <c r="W69" s="177">
        <v>84</v>
      </c>
      <c r="X69" s="79" t="str">
        <f>IF(UNIT="SI-Unit","C-Degree","F-Degree")</f>
        <v>F-Degree</v>
      </c>
      <c r="AH69" s="18"/>
    </row>
    <row r="70" spans="1:34">
      <c r="A70" s="192">
        <f>A86+9</f>
        <v>11</v>
      </c>
      <c r="B70" s="2" t="s">
        <v>117</v>
      </c>
      <c r="C70" s="2"/>
      <c r="D70" s="2"/>
      <c r="E70" s="104" t="str">
        <f>IF($M$3="YES","tp is pos-purge period","N/A")</f>
        <v>N/A</v>
      </c>
      <c r="F70" s="14">
        <v>104</v>
      </c>
      <c r="G70" s="79"/>
      <c r="H70" s="129">
        <f>H86+9</f>
        <v>11</v>
      </c>
      <c r="I70" s="82" t="s">
        <v>117</v>
      </c>
      <c r="J70" s="2"/>
      <c r="K70" s="2"/>
      <c r="L70" s="78" t="str">
        <f>IF($M$3="YES","tp is pos-purge period","N/A")</f>
        <v>N/A</v>
      </c>
      <c r="M70" s="196">
        <v>104</v>
      </c>
      <c r="N70" s="194"/>
      <c r="P70" s="65"/>
      <c r="Q70" s="2"/>
      <c r="R70" s="2"/>
      <c r="S70" s="2"/>
      <c r="T70" s="2"/>
      <c r="U70" s="2"/>
      <c r="V70" s="11" t="s">
        <v>378</v>
      </c>
      <c r="W70" s="177">
        <v>84</v>
      </c>
      <c r="X70" s="79" t="str">
        <f>IF(UNIT="SI-Unit","C-Degree","F-Degree")</f>
        <v>F-Degree</v>
      </c>
      <c r="AH70" s="18"/>
    </row>
    <row r="71" spans="1:34">
      <c r="A71" s="65"/>
      <c r="B71" s="2"/>
      <c r="C71" s="2"/>
      <c r="D71" s="2"/>
      <c r="E71" s="81" t="str">
        <f>IF($M$3="YES","Note: t4=tp+9.0min after a burner shuts off","Note: t4=9.0min after a burner shuts off")</f>
        <v>Note: t4=9.0min after a burner shuts off</v>
      </c>
      <c r="F71" s="61">
        <f>IF(F70&lt;=F75,F75+0.1,F70)</f>
        <v>104</v>
      </c>
      <c r="G71" s="79" t="str">
        <f>IF(UNIT="SI-Unit","C-Degree","F-Degree")</f>
        <v>F-Degree</v>
      </c>
      <c r="H71" s="2"/>
      <c r="I71" s="2"/>
      <c r="J71" s="2"/>
      <c r="K71" s="2"/>
      <c r="L71" s="78" t="str">
        <f>IF($M$3="YES","Note: t4=tp+9.0min after a burner shuts off","Note: t4=9.0min after a burner shuts off")</f>
        <v>Note: t4=9.0min after a burner shuts off</v>
      </c>
      <c r="M71" s="205">
        <f>IF(M70&lt;=M75,M75+0.1,M70)</f>
        <v>104</v>
      </c>
      <c r="N71" s="194" t="str">
        <f>IF(UNIT="SI-Unit","C-Degree","F-Degree")</f>
        <v>F-Degree</v>
      </c>
      <c r="P71" s="65"/>
      <c r="Q71" s="2"/>
      <c r="R71" s="2"/>
      <c r="S71" s="368" t="s">
        <v>181</v>
      </c>
      <c r="T71" s="2"/>
      <c r="U71" s="2"/>
      <c r="V71" s="2"/>
      <c r="W71" s="368" t="s">
        <v>180</v>
      </c>
      <c r="X71" s="79"/>
      <c r="AH71" s="18"/>
    </row>
    <row r="72" spans="1:34">
      <c r="A72" s="65"/>
      <c r="B72" s="2"/>
      <c r="C72" s="2"/>
      <c r="D72" s="2"/>
      <c r="E72" s="2"/>
      <c r="F72" s="8"/>
      <c r="G72" s="79"/>
      <c r="H72" s="2"/>
      <c r="I72" s="2"/>
      <c r="J72" s="2"/>
      <c r="K72" s="2"/>
      <c r="L72" s="94"/>
      <c r="M72" s="195"/>
      <c r="N72" s="194"/>
      <c r="P72" s="65"/>
      <c r="Q72" s="2"/>
      <c r="R72" s="2"/>
      <c r="S72" s="177">
        <v>490</v>
      </c>
      <c r="T72" s="15" t="str">
        <f>IF(UNIT="SI-Unit","cm2","in2")</f>
        <v>in2</v>
      </c>
      <c r="U72" s="2"/>
      <c r="V72" s="11" t="s">
        <v>377</v>
      </c>
      <c r="W72" s="177">
        <v>75</v>
      </c>
      <c r="X72" s="79" t="str">
        <f>IF(UNIT="SI-Unit","C-Degree","F-Degree")</f>
        <v>F-Degree</v>
      </c>
      <c r="AH72" s="18"/>
    </row>
    <row r="73" spans="1:34">
      <c r="A73" s="125" t="s">
        <v>119</v>
      </c>
      <c r="B73" s="2"/>
      <c r="C73" s="2"/>
      <c r="D73" s="2"/>
      <c r="E73" s="2"/>
      <c r="F73" s="77" t="s">
        <v>33</v>
      </c>
      <c r="G73" s="79"/>
      <c r="H73" s="127" t="s">
        <v>119</v>
      </c>
      <c r="I73" s="82"/>
      <c r="J73" s="2"/>
      <c r="K73" s="2"/>
      <c r="L73" s="94"/>
      <c r="M73" s="78" t="s">
        <v>33</v>
      </c>
      <c r="N73" s="194"/>
      <c r="P73" s="65"/>
      <c r="Q73" s="2"/>
      <c r="R73" s="2"/>
      <c r="S73" s="2"/>
      <c r="T73" s="2"/>
      <c r="U73" s="2"/>
      <c r="V73" s="11" t="s">
        <v>378</v>
      </c>
      <c r="W73" s="177">
        <v>75</v>
      </c>
      <c r="X73" s="79" t="str">
        <f>IF(UNIT="SI-Unit","C-Degree","F-Degree")</f>
        <v>F-Degree</v>
      </c>
      <c r="AH73" s="18"/>
    </row>
    <row r="74" spans="1:34">
      <c r="A74" s="191">
        <v>60</v>
      </c>
      <c r="B74" s="2" t="s">
        <v>117</v>
      </c>
      <c r="C74" s="2"/>
      <c r="D74" s="2"/>
      <c r="E74" s="104"/>
      <c r="F74" s="14">
        <v>86</v>
      </c>
      <c r="G74" s="79"/>
      <c r="H74" s="128">
        <v>600</v>
      </c>
      <c r="I74" s="82" t="s">
        <v>117</v>
      </c>
      <c r="J74" s="2"/>
      <c r="K74" s="2"/>
      <c r="L74" s="94"/>
      <c r="M74" s="196">
        <v>86</v>
      </c>
      <c r="N74" s="194"/>
      <c r="P74" s="65"/>
      <c r="Q74" s="2"/>
      <c r="R74" s="2"/>
      <c r="S74" s="368" t="s">
        <v>184</v>
      </c>
      <c r="T74" s="2"/>
      <c r="U74" s="2"/>
      <c r="V74" s="2"/>
      <c r="W74" s="2"/>
      <c r="X74" s="79"/>
      <c r="AH74" s="18"/>
    </row>
    <row r="75" spans="1:34">
      <c r="A75" s="65"/>
      <c r="B75" s="2"/>
      <c r="C75" s="2"/>
      <c r="D75" s="2"/>
      <c r="E75" s="81" t="str">
        <f>IF(AND(SelectScenario!$G$59="YES",SelectScenario!$G$43="NO"),"Note: TF,OFF[t5] is required","Note: TF,OFF[t5] is not required")</f>
        <v>Note: TF,OFF[t5] is not required</v>
      </c>
      <c r="F75" s="93">
        <f>IF(AND(SelectScenario!$G$59="YES",SelectScenario!$G$43="NO"),DATAINPUTncm!F74,DATAINPUTncm!F58)</f>
        <v>74</v>
      </c>
      <c r="G75" s="79" t="str">
        <f>IF(UNIT="SI-Unit","C-Degree","F-Degree")</f>
        <v>F-Degree</v>
      </c>
      <c r="H75" s="2"/>
      <c r="I75" s="2"/>
      <c r="J75" s="2"/>
      <c r="K75" s="2"/>
      <c r="L75" s="78" t="str">
        <f>IF(AND(SelectScenario!$G$59="YES",SelectScenario!$G$43="NO"),"Note: TF,OFF[t5] is required","Note: TF,OFF[t5] is not required")</f>
        <v>Note: TF,OFF[t5] is not required</v>
      </c>
      <c r="M75" s="206">
        <f>IF(AND(SelectScenario!$G$59="YES",SelectScenario!$G$43="NO"),DATAINPUTncm!M74,F58)</f>
        <v>74</v>
      </c>
      <c r="N75" s="194" t="str">
        <f>IF(UNIT="SI-Unit","C-Degree","F-Degree")</f>
        <v>F-Degree</v>
      </c>
      <c r="P75" s="65"/>
      <c r="Q75" s="2"/>
      <c r="R75" s="2"/>
      <c r="S75" s="130" t="s">
        <v>185</v>
      </c>
      <c r="T75" s="181" t="s">
        <v>189</v>
      </c>
      <c r="U75" s="2"/>
      <c r="V75" s="2"/>
      <c r="W75" s="2"/>
      <c r="X75" s="79"/>
      <c r="AH75" s="18"/>
    </row>
    <row r="76" spans="1:34">
      <c r="A76" s="65"/>
      <c r="B76" s="2"/>
      <c r="C76" s="2"/>
      <c r="D76" s="2"/>
      <c r="E76" s="2"/>
      <c r="F76" s="66"/>
      <c r="G76" s="193"/>
      <c r="H76" s="65"/>
      <c r="I76" s="2"/>
      <c r="J76" s="2"/>
      <c r="K76" s="2"/>
      <c r="L76" s="94"/>
      <c r="M76" s="84"/>
      <c r="N76" s="194"/>
      <c r="P76" s="65"/>
      <c r="Q76" s="2"/>
      <c r="R76" s="2"/>
      <c r="S76" s="2"/>
      <c r="T76" s="2"/>
      <c r="U76" s="2"/>
      <c r="V76" s="2"/>
      <c r="W76" s="2"/>
      <c r="X76" s="79"/>
      <c r="AH76" s="18"/>
    </row>
    <row r="77" spans="1:34">
      <c r="A77" s="65"/>
      <c r="B77" s="2"/>
      <c r="C77" s="2"/>
      <c r="D77" s="2"/>
      <c r="E77" s="2"/>
      <c r="F77" s="77" t="s">
        <v>57</v>
      </c>
      <c r="G77" s="79"/>
      <c r="H77" s="65"/>
      <c r="I77" s="2"/>
      <c r="J77" s="2"/>
      <c r="K77" s="2"/>
      <c r="L77" s="94"/>
      <c r="M77" s="78"/>
      <c r="N77" s="194"/>
      <c r="P77" s="65"/>
      <c r="Q77" s="2"/>
      <c r="R77" s="2"/>
      <c r="S77" s="2"/>
      <c r="T77" s="2"/>
      <c r="U77" s="2"/>
      <c r="V77" s="2"/>
      <c r="W77" s="2"/>
      <c r="X77" s="79"/>
      <c r="AH77" s="18"/>
    </row>
    <row r="78" spans="1:34">
      <c r="A78" s="65"/>
      <c r="B78" s="2"/>
      <c r="C78" s="2"/>
      <c r="D78" s="2"/>
      <c r="E78" s="81" t="str">
        <f>IF(SelectScenario!$G$59="YES","at plit mode","at no plit mode")</f>
        <v>at no plit mode</v>
      </c>
      <c r="F78" s="14">
        <v>0</v>
      </c>
      <c r="G78" s="193"/>
      <c r="H78" s="65"/>
      <c r="I78" s="2"/>
      <c r="J78" s="2"/>
      <c r="K78" s="2"/>
      <c r="L78" s="78"/>
      <c r="M78" s="196"/>
      <c r="N78" s="194"/>
      <c r="P78" s="65"/>
      <c r="Q78" s="2"/>
      <c r="R78" s="2"/>
      <c r="S78" s="2"/>
      <c r="T78" s="2"/>
      <c r="U78" s="2"/>
      <c r="V78" s="2"/>
      <c r="W78" s="2"/>
      <c r="X78" s="79"/>
      <c r="AH78" s="18"/>
    </row>
    <row r="79" spans="1:34">
      <c r="A79" s="65"/>
      <c r="B79" s="2"/>
      <c r="C79" s="2"/>
      <c r="D79" s="2"/>
      <c r="E79" s="81" t="str">
        <f>IF(SelectScenario!$G$59="YES","Note: Qp is required at plit mode","Note: Qp is not required at no plit mode")</f>
        <v>Note: Qp is not required at no plit mode</v>
      </c>
      <c r="F79" s="61">
        <f>F78</f>
        <v>0</v>
      </c>
      <c r="G79" s="131" t="str">
        <f>IF(UNIT="SI-Unit","kW","BTU/HR")</f>
        <v>BTU/HR</v>
      </c>
      <c r="H79" s="65"/>
      <c r="I79" s="2"/>
      <c r="J79" s="2"/>
      <c r="K79" s="2"/>
      <c r="L79" s="78"/>
      <c r="M79" s="205"/>
      <c r="N79" s="133"/>
      <c r="P79" s="65"/>
      <c r="Q79" s="2"/>
      <c r="R79" s="2"/>
      <c r="S79" s="2"/>
      <c r="T79" s="2"/>
      <c r="U79" s="2"/>
      <c r="V79" s="2"/>
      <c r="W79" s="2"/>
      <c r="X79" s="79"/>
      <c r="AH79" s="18"/>
    </row>
    <row r="80" spans="1:34" ht="15.75" thickBot="1">
      <c r="A80" s="71"/>
      <c r="B80" s="72"/>
      <c r="C80" s="72"/>
      <c r="D80" s="72"/>
      <c r="E80" s="72"/>
      <c r="F80" s="72"/>
      <c r="G80" s="74"/>
      <c r="H80" s="71"/>
      <c r="I80" s="72"/>
      <c r="J80" s="72"/>
      <c r="K80" s="105"/>
      <c r="L80" s="72"/>
      <c r="M80" s="72"/>
      <c r="N80" s="74"/>
      <c r="P80" s="71"/>
      <c r="Q80" s="72"/>
      <c r="R80" s="72"/>
      <c r="S80" s="72"/>
      <c r="T80" s="72"/>
      <c r="U80" s="72"/>
      <c r="V80" s="72"/>
      <c r="W80" s="72"/>
      <c r="X80" s="74"/>
      <c r="AH80" s="18"/>
    </row>
    <row r="81" spans="1:34" ht="15.75" thickBot="1">
      <c r="A81" s="2"/>
      <c r="B81" s="2"/>
      <c r="C81" s="2"/>
      <c r="D81" s="2"/>
      <c r="E81" s="2"/>
      <c r="F81" s="2"/>
      <c r="G81" s="2"/>
      <c r="H81" s="2"/>
      <c r="I81" s="2"/>
      <c r="J81" s="2"/>
      <c r="K81" s="94"/>
      <c r="L81" s="2"/>
      <c r="M81" s="2"/>
      <c r="N81" s="2"/>
      <c r="P81" s="2"/>
      <c r="Q81" s="2"/>
      <c r="R81" s="2"/>
      <c r="S81" s="2"/>
      <c r="T81" s="2"/>
      <c r="U81" s="2"/>
      <c r="V81" s="2"/>
      <c r="W81" s="2"/>
      <c r="X81" s="2"/>
      <c r="AH81" s="18"/>
    </row>
    <row r="82" spans="1:34" ht="16.5" thickBot="1">
      <c r="A82" s="95" t="s">
        <v>53</v>
      </c>
      <c r="B82" s="95"/>
      <c r="C82" s="96"/>
      <c r="D82" s="96"/>
      <c r="E82" s="96"/>
      <c r="F82" s="97"/>
      <c r="G82" s="96"/>
      <c r="H82" s="96"/>
      <c r="I82" s="96"/>
      <c r="J82" s="96"/>
      <c r="K82" s="96"/>
      <c r="L82" s="96"/>
      <c r="M82" s="96"/>
      <c r="N82" s="98"/>
      <c r="P82" s="2"/>
      <c r="Q82" s="2"/>
      <c r="R82" s="2"/>
      <c r="S82" s="2"/>
      <c r="T82" s="2"/>
      <c r="U82" s="2"/>
      <c r="V82" s="2"/>
      <c r="W82" s="2"/>
      <c r="X82" s="2"/>
      <c r="AH82" s="18"/>
    </row>
    <row r="83" spans="1:34">
      <c r="A83" s="62"/>
      <c r="B83" s="63"/>
      <c r="C83" s="63"/>
      <c r="D83" s="63"/>
      <c r="E83" s="63"/>
      <c r="F83" s="102" t="str">
        <f>IF(SelectScenario!G58="YES","Post purge is actived and required","Post purge is not actived and required")</f>
        <v>Post purge is not actived and required</v>
      </c>
      <c r="G83" s="64"/>
      <c r="H83" s="63"/>
      <c r="I83" s="63"/>
      <c r="J83" s="63"/>
      <c r="K83" s="199"/>
      <c r="L83" s="63"/>
      <c r="M83" s="63"/>
      <c r="N83" s="64"/>
      <c r="P83" s="2"/>
      <c r="Q83" s="2"/>
      <c r="R83" s="2"/>
      <c r="S83" s="2"/>
      <c r="T83" s="2"/>
      <c r="U83" s="2"/>
      <c r="V83" s="2"/>
      <c r="W83" s="2"/>
      <c r="X83" s="2"/>
      <c r="AH83" s="18"/>
    </row>
    <row r="84" spans="1:34">
      <c r="A84" s="65"/>
      <c r="B84" s="2"/>
      <c r="C84" s="2"/>
      <c r="D84" s="2"/>
      <c r="E84" s="2"/>
      <c r="F84" s="2"/>
      <c r="G84" s="79"/>
      <c r="H84" s="2"/>
      <c r="I84" s="2"/>
      <c r="J84" s="2"/>
      <c r="K84" s="94"/>
      <c r="L84" s="2"/>
      <c r="M84" s="2"/>
      <c r="N84" s="79"/>
      <c r="P84" s="2"/>
      <c r="Q84" s="2"/>
      <c r="R84" s="2"/>
      <c r="S84" s="2"/>
      <c r="T84" s="2"/>
      <c r="U84" s="2"/>
      <c r="V84" s="2"/>
      <c r="W84" s="2"/>
      <c r="X84" s="2"/>
      <c r="AH84" s="18"/>
    </row>
    <row r="85" spans="1:34">
      <c r="A85" s="125" t="s">
        <v>30</v>
      </c>
      <c r="B85" s="2"/>
      <c r="C85" s="2"/>
      <c r="D85" s="2"/>
      <c r="E85" s="2"/>
      <c r="F85" s="188" t="s">
        <v>199</v>
      </c>
      <c r="G85" s="79"/>
      <c r="H85" s="189" t="s">
        <v>30</v>
      </c>
      <c r="I85" s="82"/>
      <c r="J85" s="82"/>
      <c r="K85" s="82"/>
      <c r="L85" s="82"/>
      <c r="M85" s="78" t="s">
        <v>199</v>
      </c>
      <c r="N85" s="194"/>
      <c r="P85" s="2"/>
      <c r="Q85" s="2"/>
      <c r="R85" s="2"/>
      <c r="S85" s="2"/>
      <c r="T85" s="2"/>
      <c r="U85" s="2"/>
      <c r="V85" s="2"/>
      <c r="W85" s="2"/>
      <c r="X85" s="2"/>
      <c r="AH85" s="18"/>
    </row>
    <row r="86" spans="1:34">
      <c r="A86" s="191">
        <v>2</v>
      </c>
      <c r="B86" s="2" t="s">
        <v>117</v>
      </c>
      <c r="C86" s="2"/>
      <c r="D86" s="2"/>
      <c r="E86" s="8" t="str">
        <f>IF(AND($M$3="YES",A86&gt;3),"TF,OFF(tp/2) is required","TF,OFF(tp/2) is not required")</f>
        <v>TF,OFF(tp/2) is not required</v>
      </c>
      <c r="F86" s="197">
        <v>75</v>
      </c>
      <c r="G86" s="79" t="str">
        <f>IF(UNIT="SI-Unit","C-Degree","F-Degree")</f>
        <v>F-Degree</v>
      </c>
      <c r="H86" s="190">
        <v>2</v>
      </c>
      <c r="I86" s="82" t="s">
        <v>117</v>
      </c>
      <c r="J86" s="82"/>
      <c r="K86" s="82"/>
      <c r="L86" s="195" t="str">
        <f>IF(AND($M$3="YES",H86&gt;3),"TF,OFF(tp/2) is required","TF,OFF(tp/2) is not required")</f>
        <v>TF,OFF(tp/2) is not required</v>
      </c>
      <c r="M86" s="198">
        <v>75</v>
      </c>
      <c r="N86" s="194" t="str">
        <f>IF(UNIT="SI-Unit","C-Degree","F-Degree")</f>
        <v>F-Degree</v>
      </c>
      <c r="P86" s="2"/>
      <c r="Q86" s="2"/>
      <c r="R86" s="2"/>
      <c r="S86" s="2"/>
      <c r="T86" s="2"/>
      <c r="U86" s="2"/>
      <c r="V86" s="2"/>
      <c r="W86" s="2"/>
      <c r="X86" s="2"/>
      <c r="AH86" s="18"/>
    </row>
    <row r="87" spans="1:34">
      <c r="A87" s="125"/>
      <c r="B87" s="2"/>
      <c r="C87" s="2"/>
      <c r="D87" s="2"/>
      <c r="E87" s="8" t="str">
        <f>IF($M$3="YES","TF,OFF(tp) is required","TF,OFF(tp) is not required")</f>
        <v>TF,OFF(tp) is not required</v>
      </c>
      <c r="F87" s="197">
        <v>75</v>
      </c>
      <c r="G87" s="79" t="str">
        <f>IF(UNIT="SI-Unit","C-Degree","F-Degree")</f>
        <v>F-Degree</v>
      </c>
      <c r="H87" s="82"/>
      <c r="I87" s="82"/>
      <c r="J87" s="82"/>
      <c r="K87" s="82"/>
      <c r="L87" s="195" t="str">
        <f>IF($M$3="YES","TF,OFF(tp) is required","TF,OFF(tp) is not required")</f>
        <v>TF,OFF(tp) is not required</v>
      </c>
      <c r="M87" s="198">
        <v>75</v>
      </c>
      <c r="N87" s="194" t="str">
        <f>IF(UNIT="SI-Unit","C-Degree","F-Degree")</f>
        <v>F-Degree</v>
      </c>
      <c r="P87" s="2"/>
      <c r="Q87" s="2"/>
      <c r="R87" s="2"/>
      <c r="S87" s="2"/>
      <c r="T87" s="2"/>
      <c r="U87" s="2"/>
      <c r="V87" s="2"/>
      <c r="W87" s="2"/>
      <c r="X87" s="2"/>
      <c r="AH87" s="18"/>
    </row>
    <row r="88" spans="1:34">
      <c r="A88" s="125"/>
      <c r="B88" s="2"/>
      <c r="C88" s="2"/>
      <c r="D88" s="2"/>
      <c r="E88" s="8"/>
      <c r="F88" s="203"/>
      <c r="G88" s="79"/>
      <c r="H88" s="82"/>
      <c r="I88" s="82"/>
      <c r="J88" s="82"/>
      <c r="K88" s="82"/>
      <c r="L88" s="195"/>
      <c r="M88" s="204"/>
      <c r="N88" s="194"/>
      <c r="P88" s="2"/>
      <c r="Q88" s="2"/>
      <c r="R88" s="2"/>
      <c r="S88" s="2"/>
      <c r="T88" s="2"/>
      <c r="U88" s="2"/>
      <c r="V88" s="2"/>
      <c r="W88" s="2"/>
      <c r="X88" s="2"/>
      <c r="AH88" s="18"/>
    </row>
    <row r="89" spans="1:34" ht="16.5" thickBot="1">
      <c r="A89" s="71"/>
      <c r="B89" s="72"/>
      <c r="C89" s="72"/>
      <c r="D89" s="72"/>
      <c r="E89" s="72"/>
      <c r="F89" s="200"/>
      <c r="G89" s="74"/>
      <c r="H89" s="201"/>
      <c r="I89" s="201"/>
      <c r="J89" s="201"/>
      <c r="K89" s="201"/>
      <c r="L89" s="201"/>
      <c r="M89" s="201"/>
      <c r="N89" s="202"/>
      <c r="P89" s="2"/>
      <c r="Q89" s="2"/>
      <c r="R89" s="2"/>
      <c r="S89" s="2"/>
      <c r="T89" s="2"/>
      <c r="U89" s="2"/>
      <c r="V89" s="2"/>
      <c r="W89" s="2"/>
      <c r="X89" s="2"/>
      <c r="AH89" s="18"/>
    </row>
    <row r="90" spans="1:34" ht="15.75" thickBo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P90" s="2"/>
      <c r="Q90" s="2"/>
      <c r="R90" s="2"/>
      <c r="S90" s="2"/>
      <c r="T90" s="2"/>
      <c r="U90" s="2"/>
      <c r="V90" s="2"/>
      <c r="W90" s="2"/>
      <c r="X90" s="2"/>
      <c r="AH90" s="18"/>
    </row>
    <row r="91" spans="1:34" ht="16.5" thickBot="1">
      <c r="A91" s="99" t="s">
        <v>26</v>
      </c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1"/>
      <c r="P91" s="2"/>
      <c r="Q91" s="2"/>
      <c r="R91" s="2"/>
      <c r="S91" s="2"/>
      <c r="T91" s="2"/>
      <c r="U91" s="2"/>
      <c r="V91" s="2"/>
      <c r="W91" s="2"/>
      <c r="X91" s="2"/>
      <c r="AH91" s="18"/>
    </row>
    <row r="92" spans="1:34">
      <c r="A92" s="62"/>
      <c r="B92" s="63"/>
      <c r="C92" s="63"/>
      <c r="D92" s="63"/>
      <c r="E92" s="63"/>
      <c r="F92" s="102" t="s">
        <v>60</v>
      </c>
      <c r="G92" s="63"/>
      <c r="H92" s="62"/>
      <c r="I92" s="63"/>
      <c r="J92" s="63"/>
      <c r="K92" s="63"/>
      <c r="L92" s="63"/>
      <c r="M92" s="103" t="s">
        <v>58</v>
      </c>
      <c r="N92" s="64"/>
      <c r="P92" s="2"/>
      <c r="Q92" s="2"/>
      <c r="R92" s="2"/>
      <c r="S92" s="2"/>
      <c r="T92" s="2"/>
      <c r="U92" s="2"/>
      <c r="V92" s="2"/>
      <c r="W92" s="2"/>
      <c r="X92" s="2"/>
      <c r="AH92" s="18"/>
    </row>
    <row r="93" spans="1:34">
      <c r="A93" s="65"/>
      <c r="B93" s="2"/>
      <c r="C93" s="2"/>
      <c r="D93" s="2"/>
      <c r="E93" s="2"/>
      <c r="F93" s="88" t="str">
        <f>IF(SelectScenario!$G$6="Non-Modulating","(The maximum parameters are required@"&amp;SelectScenario!$G$6&amp;")",IF(SelectScenario!$G$6="Step-Modulating","The maximum parameters are not required@"&amp;SelectScenario!$G$6&amp;")","(The maximum parameters are required@"&amp;SelectScenario!$G$6&amp;")"))</f>
        <v>The maximum parameters are not required@Step-Modulating)</v>
      </c>
      <c r="G93" s="2"/>
      <c r="H93" s="65"/>
      <c r="I93" s="2"/>
      <c r="J93" s="2"/>
      <c r="K93" s="2"/>
      <c r="L93" s="2"/>
      <c r="M93" s="84" t="str">
        <f>IF(SelectScenario!$G$6="Non-Modulating","(The reduced parameters are not required@"&amp;SelectScenario!$G$6&amp;")",IF(SelectScenario!$G$6="Step-Modulating","The maximum parameters are required@"&amp;SelectScenario!$G$6&amp;")","(The maximum parameters are required@"&amp;SelectScenario!$G$6&amp;")"))</f>
        <v>The maximum parameters are required@Step-Modulating)</v>
      </c>
      <c r="N93" s="79"/>
      <c r="P93" s="2"/>
      <c r="Q93" s="2"/>
      <c r="R93" s="2"/>
      <c r="S93" s="2"/>
      <c r="T93" s="2"/>
      <c r="U93" s="2"/>
      <c r="V93" s="2"/>
      <c r="W93" s="2"/>
      <c r="X93" s="2"/>
      <c r="AH93" s="18"/>
    </row>
    <row r="94" spans="1:34">
      <c r="A94" s="65"/>
      <c r="B94" s="2"/>
      <c r="C94" s="2"/>
      <c r="D94" s="2"/>
      <c r="E94" s="2"/>
      <c r="F94" s="8"/>
      <c r="G94" s="2"/>
      <c r="H94" s="65"/>
      <c r="I94" s="2"/>
      <c r="J94" s="2"/>
      <c r="K94" s="2"/>
      <c r="L94" s="2"/>
      <c r="M94" s="2"/>
      <c r="N94" s="79"/>
      <c r="AH94" s="18"/>
    </row>
    <row r="95" spans="1:34">
      <c r="A95" s="65"/>
      <c r="B95" s="2"/>
      <c r="C95" s="2"/>
      <c r="D95" s="2"/>
      <c r="E95" s="2"/>
      <c r="F95" s="77" t="s">
        <v>61</v>
      </c>
      <c r="H95" s="65"/>
      <c r="I95" s="2"/>
      <c r="J95" s="2"/>
      <c r="K95" s="2"/>
      <c r="L95" s="2"/>
      <c r="M95" s="78" t="s">
        <v>61</v>
      </c>
      <c r="N95" s="79"/>
      <c r="AH95" s="18"/>
    </row>
    <row r="96" spans="1:34">
      <c r="A96" s="126" t="s">
        <v>120</v>
      </c>
      <c r="B96" s="2"/>
      <c r="C96" s="2"/>
      <c r="D96" s="2"/>
      <c r="E96" s="81"/>
      <c r="F96" s="14">
        <v>104</v>
      </c>
      <c r="G96" s="2"/>
      <c r="H96" s="127" t="s">
        <v>120</v>
      </c>
      <c r="I96" s="82"/>
      <c r="J96" s="2"/>
      <c r="K96" s="2"/>
      <c r="L96" s="81"/>
      <c r="M96" s="14">
        <v>86</v>
      </c>
      <c r="N96" s="79"/>
      <c r="AH96" s="18"/>
    </row>
    <row r="97" spans="1:34">
      <c r="A97" s="110">
        <v>0.5</v>
      </c>
      <c r="B97" t="s">
        <v>117</v>
      </c>
      <c r="C97" s="2"/>
      <c r="D97" s="2"/>
      <c r="E97" s="81" t="str">
        <f>"Note: t1=0.5min after a burner comes on"</f>
        <v>Note: t1=0.5min after a burner comes on</v>
      </c>
      <c r="F97" s="61">
        <f>IF(F96&gt;F33,F33-0.2,IF(F96&gt;F101, F100-0.1,F96))</f>
        <v>104</v>
      </c>
      <c r="G97" s="2" t="str">
        <f>IF(UNIT="SI-Unit","C-Degree","F-Degree")</f>
        <v>F-Degree</v>
      </c>
      <c r="H97" s="128">
        <v>0.5</v>
      </c>
      <c r="I97" s="5" t="s">
        <v>117</v>
      </c>
      <c r="J97" s="2"/>
      <c r="K97" s="2"/>
      <c r="L97" s="78" t="str">
        <f>"Note: t1=0.5min after a burner comes on"</f>
        <v>Note: t1=0.5min after a burner comes on</v>
      </c>
      <c r="M97" s="61">
        <f>IF(M96&gt;M33,M33-0.2,IF(M96&gt;M101, M100-0.1,M96))</f>
        <v>86</v>
      </c>
      <c r="N97" s="79" t="str">
        <f>IF(UNIT="SI-Unit","C-Degree","F-Degree")</f>
        <v>F-Degree</v>
      </c>
      <c r="AH97" s="18"/>
    </row>
    <row r="98" spans="1:34">
      <c r="A98" s="125"/>
      <c r="B98" s="2"/>
      <c r="C98" s="2"/>
      <c r="D98" s="2"/>
      <c r="E98" s="2"/>
      <c r="F98" s="2"/>
      <c r="G98" s="2"/>
      <c r="H98" s="127"/>
      <c r="I98" s="82"/>
      <c r="J98" s="2"/>
      <c r="K98" s="2"/>
      <c r="L98" s="2"/>
      <c r="M98" s="2"/>
      <c r="N98" s="79"/>
      <c r="AH98" s="18"/>
    </row>
    <row r="99" spans="1:34">
      <c r="A99" s="126" t="s">
        <v>121</v>
      </c>
      <c r="B99" s="2"/>
      <c r="C99" s="2"/>
      <c r="D99" s="2"/>
      <c r="E99" s="2"/>
      <c r="F99" s="77" t="s">
        <v>62</v>
      </c>
      <c r="G99" s="2"/>
      <c r="H99" s="127" t="s">
        <v>121</v>
      </c>
      <c r="I99" s="82"/>
      <c r="J99" s="2"/>
      <c r="K99" s="2"/>
      <c r="L99" s="2"/>
      <c r="M99" s="78" t="s">
        <v>62</v>
      </c>
      <c r="N99" s="79"/>
      <c r="AH99" s="18"/>
    </row>
    <row r="100" spans="1:34">
      <c r="A100" s="110">
        <f>2.5</f>
        <v>2.5</v>
      </c>
      <c r="B100" s="2" t="s">
        <v>117</v>
      </c>
      <c r="C100" s="2"/>
      <c r="D100" s="2"/>
      <c r="E100" s="81"/>
      <c r="F100" s="14">
        <v>122</v>
      </c>
      <c r="G100" s="2"/>
      <c r="H100" s="128">
        <f>2.5</f>
        <v>2.5</v>
      </c>
      <c r="I100" s="82" t="s">
        <v>117</v>
      </c>
      <c r="J100" s="2"/>
      <c r="K100" s="2"/>
      <c r="L100" s="81"/>
      <c r="M100" s="14">
        <v>104</v>
      </c>
      <c r="N100" s="79"/>
      <c r="AH100" s="18"/>
    </row>
    <row r="101" spans="1:34">
      <c r="A101" s="65"/>
      <c r="B101" s="2"/>
      <c r="C101" s="2"/>
      <c r="D101" s="2"/>
      <c r="E101" s="81" t="str">
        <f>"Note: t2=2.5min after a burner comes on"</f>
        <v>Note: t2=2.5min after a burner comes on</v>
      </c>
      <c r="F101" s="61">
        <f>IF(F100&gt;F33,F33-0.1,F100)</f>
        <v>122</v>
      </c>
      <c r="G101" s="2" t="str">
        <f>IF(UNIT="SI-Unit","C-Degree","F-Degree")</f>
        <v>F-Degree</v>
      </c>
      <c r="H101" s="65"/>
      <c r="I101" s="2"/>
      <c r="J101" s="2"/>
      <c r="K101" s="2"/>
      <c r="L101" s="78" t="str">
        <f>"Note: t2=2.5min after a burner comes on"</f>
        <v>Note: t2=2.5min after a burner comes on</v>
      </c>
      <c r="M101" s="61">
        <f>IF(M100&gt;M33,M33-0.1,M100)</f>
        <v>104</v>
      </c>
      <c r="N101" s="79" t="str">
        <f>IF(UNIT="SI-Unit","C-Degree","F-Degree")</f>
        <v>F-Degree</v>
      </c>
      <c r="AH101" s="18"/>
    </row>
    <row r="102" spans="1:34" ht="15.75" thickBot="1">
      <c r="A102" s="71"/>
      <c r="B102" s="72"/>
      <c r="C102" s="72"/>
      <c r="D102" s="72"/>
      <c r="E102" s="72"/>
      <c r="F102" s="73"/>
      <c r="G102" s="72"/>
      <c r="H102" s="71"/>
      <c r="I102" s="72"/>
      <c r="J102" s="72"/>
      <c r="K102" s="72"/>
      <c r="L102" s="72"/>
      <c r="M102" s="72"/>
      <c r="N102" s="74"/>
      <c r="AH102" s="18"/>
    </row>
    <row r="103" spans="1:34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AH103" s="18"/>
    </row>
    <row r="104" spans="1:34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AH104" s="18"/>
    </row>
    <row r="105" spans="1:34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AH105" s="18"/>
    </row>
    <row r="106" spans="1:34">
      <c r="AH106" s="18"/>
    </row>
    <row r="107" spans="1:34">
      <c r="AH107" s="18"/>
    </row>
    <row r="108" spans="1:34">
      <c r="AH108" s="18"/>
    </row>
    <row r="109" spans="1:34">
      <c r="AH109" s="18"/>
    </row>
    <row r="110" spans="1:34">
      <c r="AH110" s="18"/>
    </row>
    <row r="111" spans="1:34">
      <c r="AH111" s="18"/>
    </row>
    <row r="112" spans="1:34">
      <c r="AH112" s="18"/>
    </row>
    <row r="113" spans="34:34">
      <c r="AH113" s="18"/>
    </row>
    <row r="114" spans="34:34">
      <c r="AH114" s="18"/>
    </row>
    <row r="115" spans="34:34">
      <c r="AH115" s="18"/>
    </row>
    <row r="116" spans="34:34">
      <c r="AH116" s="18"/>
    </row>
    <row r="117" spans="34:34">
      <c r="AH117" s="18"/>
    </row>
    <row r="118" spans="34:34">
      <c r="AH118" s="18"/>
    </row>
    <row r="119" spans="34:34">
      <c r="AH119" s="18"/>
    </row>
    <row r="120" spans="34:34">
      <c r="AH120" s="18"/>
    </row>
    <row r="121" spans="34:34">
      <c r="AH121" s="18"/>
    </row>
    <row r="122" spans="34:34">
      <c r="AH122" s="18"/>
    </row>
    <row r="123" spans="34:34">
      <c r="AH123" s="18"/>
    </row>
    <row r="124" spans="34:34">
      <c r="AH124" s="18"/>
    </row>
    <row r="125" spans="34:34">
      <c r="AH125" s="18"/>
    </row>
    <row r="126" spans="34:34">
      <c r="AH126" s="18"/>
    </row>
    <row r="127" spans="34:34">
      <c r="AH127" s="18"/>
    </row>
    <row r="128" spans="34:34">
      <c r="AH128" s="18"/>
    </row>
    <row r="129" spans="34:34">
      <c r="AH129" s="18"/>
    </row>
    <row r="130" spans="34:34">
      <c r="AH130" s="18"/>
    </row>
    <row r="131" spans="34:34">
      <c r="AH131" s="18"/>
    </row>
    <row r="132" spans="34:34">
      <c r="AH132" s="18"/>
    </row>
    <row r="133" spans="34:34">
      <c r="AH133" s="18"/>
    </row>
    <row r="134" spans="34:34">
      <c r="AH134" s="18"/>
    </row>
    <row r="135" spans="34:34">
      <c r="AH135" s="18"/>
    </row>
    <row r="136" spans="34:34">
      <c r="AH136" s="18"/>
    </row>
    <row r="137" spans="34:34">
      <c r="AH137" s="18"/>
    </row>
    <row r="138" spans="34:34">
      <c r="AH138" s="18"/>
    </row>
    <row r="139" spans="34:34">
      <c r="AH139" s="18"/>
    </row>
    <row r="140" spans="34:34">
      <c r="AH140" s="18"/>
    </row>
    <row r="141" spans="34:34">
      <c r="AH141" s="18"/>
    </row>
    <row r="142" spans="34:34">
      <c r="AH142" s="18"/>
    </row>
    <row r="143" spans="34:34">
      <c r="AH143" s="18"/>
    </row>
    <row r="144" spans="34:34">
      <c r="AH144" s="18"/>
    </row>
    <row r="145" spans="34:34">
      <c r="AH145" s="18"/>
    </row>
    <row r="146" spans="34:34">
      <c r="AH146" s="18"/>
    </row>
    <row r="147" spans="34:34">
      <c r="AH147" s="18"/>
    </row>
    <row r="148" spans="34:34">
      <c r="AH148" s="18"/>
    </row>
    <row r="149" spans="34:34">
      <c r="AH149" s="18"/>
    </row>
    <row r="150" spans="34:34">
      <c r="AH150" s="18"/>
    </row>
    <row r="151" spans="34:34">
      <c r="AH151" s="18"/>
    </row>
    <row r="152" spans="34:34">
      <c r="AH152" s="18"/>
    </row>
    <row r="153" spans="34:34">
      <c r="AH153" s="18"/>
    </row>
    <row r="154" spans="34:34">
      <c r="AH154" s="18"/>
    </row>
    <row r="155" spans="34:34">
      <c r="AH155" s="18"/>
    </row>
    <row r="156" spans="34:34">
      <c r="AH156" s="18"/>
    </row>
    <row r="157" spans="34:34">
      <c r="AH157" s="18"/>
    </row>
    <row r="158" spans="34:34">
      <c r="AH158" s="18"/>
    </row>
    <row r="159" spans="34:34">
      <c r="AH159" s="18"/>
    </row>
    <row r="160" spans="34:34">
      <c r="AH160" s="18"/>
    </row>
    <row r="161" spans="34:34">
      <c r="AH161" s="18"/>
    </row>
    <row r="162" spans="34:34">
      <c r="AH162" s="18"/>
    </row>
    <row r="163" spans="34:34">
      <c r="AH163" s="18"/>
    </row>
    <row r="164" spans="34:34">
      <c r="AH164" s="18"/>
    </row>
    <row r="165" spans="34:34">
      <c r="AH165" s="18"/>
    </row>
    <row r="166" spans="34:34">
      <c r="AH166" s="18"/>
    </row>
    <row r="167" spans="34:34">
      <c r="AH167" s="18"/>
    </row>
    <row r="168" spans="34:34">
      <c r="AH168" s="18"/>
    </row>
    <row r="169" spans="34:34">
      <c r="AH169" s="18"/>
    </row>
    <row r="170" spans="34:34">
      <c r="AH170" s="18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C95844-B851-43E8-90C8-D56F06282E81}">
          <x14:formula1>
            <xm:f>Others!$A$14:$A$17</xm:f>
          </x14:formula1>
          <xm:sqref>S75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806B-5DDE-4194-86CE-509EE451FB08}">
  <sheetPr codeName="Sheet11">
    <tabColor theme="4" tint="0.39997558519241921"/>
  </sheetPr>
  <dimension ref="A1:Y105"/>
  <sheetViews>
    <sheetView topLeftCell="A66" zoomScale="108" zoomScaleNormal="108" workbookViewId="0">
      <selection activeCell="Z30" sqref="Z30"/>
    </sheetView>
  </sheetViews>
  <sheetFormatPr defaultRowHeight="12"/>
  <cols>
    <col min="1" max="1" width="13.28515625" style="106" customWidth="1"/>
    <col min="2" max="7" width="9.140625" style="106"/>
    <col min="8" max="8" width="9.140625" style="106" customWidth="1"/>
    <col min="9" max="9" width="10.85546875" style="106" bestFit="1" customWidth="1"/>
    <col min="10" max="22" width="9.140625" style="106"/>
    <col min="23" max="23" width="9.5703125" style="106" bestFit="1" customWidth="1"/>
    <col min="24" max="16384" width="9.140625" style="106"/>
  </cols>
  <sheetData>
    <row r="1" spans="1:21" ht="12.75" thickBot="1">
      <c r="A1" s="231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3"/>
    </row>
    <row r="2" spans="1:21" ht="12.75" thickBot="1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7"/>
    </row>
    <row r="3" spans="1:21">
      <c r="A3" s="155"/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7"/>
      <c r="Q3" s="15"/>
      <c r="R3" s="15"/>
      <c r="S3" s="15"/>
      <c r="T3" s="15"/>
      <c r="U3" s="131"/>
    </row>
    <row r="4" spans="1:21">
      <c r="A4" s="158"/>
      <c r="B4" s="15"/>
      <c r="C4" s="15"/>
      <c r="D4" s="15"/>
      <c r="E4" s="159" t="str">
        <f>SelectScenario!F7</f>
        <v xml:space="preserve">Selected Unit: </v>
      </c>
      <c r="F4" s="160" t="str">
        <f>SelectScenario!G7</f>
        <v>Condensing, Step-ModulatingNG Furnace</v>
      </c>
      <c r="H4" s="160"/>
      <c r="I4" s="160"/>
      <c r="J4" s="160"/>
      <c r="K4" s="160"/>
      <c r="L4" s="160" t="s">
        <v>55</v>
      </c>
      <c r="M4" s="160"/>
      <c r="N4" s="160"/>
      <c r="O4" s="15"/>
      <c r="P4" s="131"/>
      <c r="Q4" s="15"/>
      <c r="R4" s="15"/>
      <c r="S4" s="15"/>
      <c r="T4" s="15"/>
      <c r="U4" s="131"/>
    </row>
    <row r="5" spans="1:21">
      <c r="A5" s="158"/>
      <c r="B5" s="15"/>
      <c r="C5" s="15"/>
      <c r="D5" s="15"/>
      <c r="E5" s="11" t="str">
        <f>SelectScenario!F5</f>
        <v>Select NG Furnace System Scenario</v>
      </c>
      <c r="F5" s="69">
        <f>SelectScenario!G5</f>
        <v>3</v>
      </c>
      <c r="G5" s="15"/>
      <c r="H5" s="160"/>
      <c r="I5" s="160"/>
      <c r="J5" s="160"/>
      <c r="K5" s="160"/>
      <c r="L5" s="11" t="str">
        <f>SelectScenario!F58</f>
        <v>Post Purge</v>
      </c>
      <c r="M5" s="243" t="str">
        <f>SelectScenario!G58</f>
        <v>NO</v>
      </c>
      <c r="N5" s="160"/>
      <c r="O5" s="15"/>
      <c r="P5" s="131"/>
      <c r="Q5" s="15"/>
      <c r="R5" s="15"/>
      <c r="S5" s="15"/>
      <c r="T5" s="15"/>
      <c r="U5" s="131"/>
    </row>
    <row r="6" spans="1:21">
      <c r="A6" s="158"/>
      <c r="B6" s="15"/>
      <c r="C6" s="15"/>
      <c r="D6" s="15"/>
      <c r="E6" s="11" t="str">
        <f>SelectScenario!F10</f>
        <v>Indoor Combustion Air</v>
      </c>
      <c r="F6" s="69" t="str">
        <f>SelectScenario!G10</f>
        <v>YES</v>
      </c>
      <c r="G6" s="15"/>
      <c r="H6" s="69"/>
      <c r="I6" s="69"/>
      <c r="J6" s="69"/>
      <c r="K6" s="69"/>
      <c r="L6" s="11" t="str">
        <f>SelectScenario!F59</f>
        <v>Pilot Light</v>
      </c>
      <c r="M6" s="243" t="str">
        <f>SelectScenario!G59</f>
        <v>NO</v>
      </c>
      <c r="N6" s="69"/>
      <c r="O6" s="15"/>
      <c r="P6" s="131"/>
      <c r="Q6" s="15"/>
      <c r="R6" s="15"/>
      <c r="S6" s="15"/>
      <c r="T6" s="15"/>
      <c r="U6" s="131"/>
    </row>
    <row r="7" spans="1:21">
      <c r="A7" s="158"/>
      <c r="B7" s="15"/>
      <c r="C7" s="15"/>
      <c r="D7" s="15"/>
      <c r="E7" s="11" t="str">
        <f>SelectScenario!F11</f>
        <v>Outdoor, Direct Vent or isolated Combustion System</v>
      </c>
      <c r="F7" s="69" t="str">
        <f>SelectScenario!G11</f>
        <v>NO</v>
      </c>
      <c r="G7" s="15"/>
      <c r="H7" s="69"/>
      <c r="I7" s="69"/>
      <c r="J7" s="69"/>
      <c r="K7" s="69"/>
      <c r="L7" s="11" t="str">
        <f>SelectScenario!F60</f>
        <v>Unit</v>
      </c>
      <c r="M7" s="243" t="str">
        <f>SelectScenario!G60</f>
        <v>British-Unit</v>
      </c>
      <c r="N7" s="69"/>
      <c r="O7" s="15"/>
      <c r="P7" s="131"/>
      <c r="Q7" s="15"/>
      <c r="R7" s="15"/>
      <c r="S7" s="15"/>
      <c r="T7" s="15"/>
      <c r="U7" s="131"/>
    </row>
    <row r="8" spans="1:21" ht="12.75" thickBot="1">
      <c r="A8" s="158"/>
      <c r="B8" s="15"/>
      <c r="C8" s="15"/>
      <c r="D8" s="15"/>
      <c r="E8" s="11" t="str">
        <f>SelectScenario!F12</f>
        <v>Direct Exhaust</v>
      </c>
      <c r="F8" s="69" t="str">
        <f>SelectScenario!G12</f>
        <v>NO</v>
      </c>
      <c r="G8" s="15"/>
      <c r="H8" s="69"/>
      <c r="I8" s="69"/>
      <c r="J8" s="69"/>
      <c r="K8" s="69"/>
      <c r="L8" s="69"/>
      <c r="M8" s="69"/>
      <c r="N8" s="69"/>
      <c r="O8" s="15"/>
      <c r="P8" s="131"/>
      <c r="Q8" s="15"/>
      <c r="R8" s="15"/>
      <c r="S8" s="15"/>
      <c r="T8" s="15"/>
      <c r="U8" s="131"/>
    </row>
    <row r="9" spans="1:21">
      <c r="A9" s="158"/>
      <c r="B9" s="15"/>
      <c r="C9" s="15"/>
      <c r="D9" s="15"/>
      <c r="E9" s="11" t="str">
        <f>SelectScenario!F13</f>
        <v>Draft Hood or Draft Diverter</v>
      </c>
      <c r="F9" s="69" t="str">
        <f>SelectScenario!G13</f>
        <v>YES</v>
      </c>
      <c r="G9" s="15"/>
      <c r="H9" s="244" t="s">
        <v>146</v>
      </c>
      <c r="I9" s="245"/>
      <c r="J9" s="245"/>
      <c r="K9" s="245"/>
      <c r="L9" s="245"/>
      <c r="M9" s="245"/>
      <c r="N9" s="245"/>
      <c r="O9" s="157"/>
      <c r="P9" s="131"/>
      <c r="Q9" s="15"/>
      <c r="R9" s="15"/>
      <c r="S9" s="15"/>
      <c r="T9" s="15"/>
      <c r="U9" s="131"/>
    </row>
    <row r="10" spans="1:21">
      <c r="A10" s="158"/>
      <c r="B10" s="15"/>
      <c r="C10" s="15"/>
      <c r="D10" s="15"/>
      <c r="E10" s="11" t="str">
        <f>SelectScenario!F14</f>
        <v>Barometric Draft</v>
      </c>
      <c r="F10" s="69" t="str">
        <f>SelectScenario!G14</f>
        <v>NO</v>
      </c>
      <c r="G10" s="15"/>
      <c r="H10" s="217" t="s">
        <v>206</v>
      </c>
      <c r="I10" s="224">
        <f>I103</f>
        <v>88.600570633591744</v>
      </c>
      <c r="J10" s="243" t="s">
        <v>93</v>
      </c>
      <c r="M10" s="11" t="str">
        <f>A102</f>
        <v>Heating seasoning efficiency</v>
      </c>
      <c r="N10" s="224">
        <f>B103</f>
        <v>88.60057063359173</v>
      </c>
      <c r="O10" s="246" t="s">
        <v>93</v>
      </c>
      <c r="P10" s="131"/>
      <c r="Q10" s="15"/>
      <c r="R10" s="15"/>
      <c r="S10" s="15"/>
      <c r="T10" s="15"/>
      <c r="U10" s="131"/>
    </row>
    <row r="11" spans="1:21">
      <c r="A11" s="158"/>
      <c r="B11" s="15"/>
      <c r="C11" s="15"/>
      <c r="D11" s="15"/>
      <c r="E11" s="11" t="str">
        <f>SelectScenario!F15</f>
        <v>Electrical/Mechanical Stack Damper</v>
      </c>
      <c r="F11" s="69" t="str">
        <f>SelectScenario!G15</f>
        <v>NO</v>
      </c>
      <c r="G11" s="15"/>
      <c r="H11" s="158" t="str">
        <f>A94</f>
        <v>ON-Cycle Sensible Heat Loss.</v>
      </c>
      <c r="I11" s="15"/>
      <c r="J11" s="15"/>
      <c r="K11" s="144"/>
      <c r="L11" s="69"/>
      <c r="M11" s="69"/>
      <c r="N11" s="69"/>
      <c r="O11" s="131"/>
      <c r="P11" s="131"/>
      <c r="Q11" s="15"/>
      <c r="R11" s="15"/>
      <c r="S11" s="15"/>
      <c r="T11" s="15"/>
      <c r="U11" s="131"/>
    </row>
    <row r="12" spans="1:21">
      <c r="A12" s="158"/>
      <c r="B12" s="15"/>
      <c r="C12" s="15"/>
      <c r="D12" s="15"/>
      <c r="E12" s="11" t="str">
        <f>SelectScenario!F16</f>
        <v>Atomspheric Burner</v>
      </c>
      <c r="F12" s="69" t="str">
        <f>SelectScenario!G16</f>
        <v>NO</v>
      </c>
      <c r="G12" s="15"/>
      <c r="H12" s="247" t="str">
        <f>H94</f>
        <v>OFF-Cycle Sensible Heat Loss</v>
      </c>
      <c r="I12" s="15"/>
      <c r="J12" s="15"/>
      <c r="K12" s="249"/>
      <c r="L12" s="69"/>
      <c r="M12" s="69"/>
      <c r="N12" s="69"/>
      <c r="O12" s="131"/>
      <c r="P12" s="131"/>
      <c r="Q12" s="15"/>
      <c r="R12" s="15"/>
      <c r="S12" s="15"/>
      <c r="T12" s="15"/>
      <c r="U12" s="131"/>
    </row>
    <row r="13" spans="1:21">
      <c r="A13" s="158"/>
      <c r="B13" s="15"/>
      <c r="C13" s="15"/>
      <c r="D13" s="15"/>
      <c r="E13" s="11" t="str">
        <f>SelectScenario!F17</f>
        <v>Power Burner</v>
      </c>
      <c r="F13" s="69" t="str">
        <f>SelectScenario!G17</f>
        <v>YES</v>
      </c>
      <c r="G13" s="15"/>
      <c r="H13" s="158" t="str">
        <f>A98</f>
        <v>ON-Cycle Infiltration Heat Loss.</v>
      </c>
      <c r="I13" s="15"/>
      <c r="J13" s="15"/>
      <c r="K13" s="249"/>
      <c r="L13" s="69"/>
      <c r="M13" s="69"/>
      <c r="N13" s="69"/>
      <c r="O13" s="131"/>
      <c r="P13" s="131"/>
      <c r="Q13" s="15"/>
      <c r="R13" s="15"/>
      <c r="S13" s="15"/>
      <c r="T13" s="15"/>
      <c r="U13" s="131"/>
    </row>
    <row r="14" spans="1:21" ht="12.75" thickBot="1">
      <c r="A14" s="158"/>
      <c r="B14" s="15"/>
      <c r="C14" s="15"/>
      <c r="D14" s="15"/>
      <c r="E14" s="11" t="str">
        <f>SelectScenario!F18</f>
        <v>Burner Inlet Damper or Flue Damper</v>
      </c>
      <c r="F14" s="69" t="str">
        <f>SelectScenario!G18</f>
        <v>NO</v>
      </c>
      <c r="G14" s="15"/>
      <c r="H14" s="161" t="str">
        <f>H98</f>
        <v>OFF-Cycle Infiltration Heat Loss.</v>
      </c>
      <c r="I14" s="162"/>
      <c r="J14" s="162"/>
      <c r="K14" s="248"/>
      <c r="L14" s="248"/>
      <c r="M14" s="248"/>
      <c r="N14" s="248"/>
      <c r="O14" s="164"/>
      <c r="P14" s="131"/>
      <c r="Q14" s="15"/>
      <c r="R14" s="15"/>
      <c r="S14" s="15"/>
      <c r="T14" s="15"/>
      <c r="U14" s="131"/>
    </row>
    <row r="15" spans="1:21" ht="12.75" thickBot="1">
      <c r="A15" s="161"/>
      <c r="B15" s="162"/>
      <c r="C15" s="163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4"/>
      <c r="Q15" s="15"/>
      <c r="R15" s="15"/>
      <c r="S15" s="15"/>
      <c r="T15" s="15"/>
      <c r="U15" s="131"/>
    </row>
    <row r="16" spans="1:21" ht="12.75" thickBot="1">
      <c r="A16" s="161"/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4"/>
    </row>
    <row r="17" spans="1:21" ht="12.75" thickBot="1">
      <c r="A17" s="225" t="s">
        <v>216</v>
      </c>
      <c r="B17" s="229"/>
      <c r="C17" s="229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29"/>
      <c r="O17" s="229"/>
      <c r="P17" s="229"/>
      <c r="Q17" s="229"/>
      <c r="R17" s="229"/>
      <c r="S17" s="229"/>
      <c r="T17" s="229"/>
      <c r="U17" s="230"/>
    </row>
    <row r="18" spans="1:21">
      <c r="A18" s="216" t="s">
        <v>322</v>
      </c>
      <c r="B18" s="145"/>
      <c r="C18" s="145"/>
      <c r="D18" s="145"/>
      <c r="E18" s="145"/>
      <c r="F18" s="145"/>
      <c r="G18" s="15"/>
      <c r="H18" s="145" t="s">
        <v>321</v>
      </c>
      <c r="I18" s="145"/>
      <c r="J18" s="145"/>
      <c r="K18" s="145"/>
      <c r="L18" s="145"/>
      <c r="M18" s="145"/>
      <c r="N18" s="15"/>
      <c r="O18" s="145" t="s">
        <v>323</v>
      </c>
      <c r="P18" s="145"/>
      <c r="Q18" s="145"/>
      <c r="R18" s="145"/>
      <c r="S18" s="145"/>
      <c r="T18" s="145"/>
      <c r="U18" s="131"/>
    </row>
    <row r="19" spans="1:21" ht="13.5">
      <c r="A19" s="217" t="s">
        <v>148</v>
      </c>
      <c r="B19" s="149">
        <f>Others!F7+Others!G7/(DATAINPUTncm!F41)</f>
        <v>1.18794</v>
      </c>
      <c r="C19" s="15" t="s">
        <v>106</v>
      </c>
      <c r="D19" s="15"/>
      <c r="E19" s="15"/>
      <c r="F19" s="15"/>
      <c r="G19" s="15"/>
      <c r="H19" s="11" t="s">
        <v>149</v>
      </c>
      <c r="I19" s="149">
        <f>Others!F7+Others!G7/(DATAINPUTncm!F45)</f>
        <v>1.46194</v>
      </c>
      <c r="J19" s="15" t="s">
        <v>106</v>
      </c>
      <c r="K19" s="15"/>
      <c r="L19" s="15"/>
      <c r="M19" s="15"/>
      <c r="N19" s="15"/>
      <c r="O19" s="11" t="s">
        <v>96</v>
      </c>
      <c r="P19" s="147">
        <f>IF(SelectScenario!G12="YES",1,IF(SelectScenario!G13="YES",1.3*(I19/B19),IF(SelectScenario!G14="YES",1.4,I19/B19)))</f>
        <v>1.599846793609105</v>
      </c>
      <c r="Q19" s="15" t="s">
        <v>106</v>
      </c>
      <c r="R19" s="15"/>
      <c r="S19" s="15"/>
      <c r="T19" s="15"/>
      <c r="U19" s="131"/>
    </row>
    <row r="20" spans="1:21" ht="13.5">
      <c r="A20" s="217" t="s">
        <v>258</v>
      </c>
      <c r="B20" s="149">
        <f>Others!F7+Others!G7/(DATAINPUTncm!M41)</f>
        <v>1.18794</v>
      </c>
      <c r="C20" s="15" t="s">
        <v>106</v>
      </c>
      <c r="D20" s="15"/>
      <c r="E20" s="15"/>
      <c r="F20" s="15"/>
      <c r="G20" s="15"/>
      <c r="H20" s="11" t="s">
        <v>258</v>
      </c>
      <c r="I20" s="208">
        <f>Others!F7+Others!G7/(DATAINPUTncm!M45)</f>
        <v>1.46194</v>
      </c>
      <c r="J20" s="15" t="s">
        <v>106</v>
      </c>
      <c r="K20" s="15"/>
      <c r="L20" s="15"/>
      <c r="M20" s="15"/>
      <c r="N20" s="15"/>
      <c r="O20" s="11" t="s">
        <v>257</v>
      </c>
      <c r="P20" s="130">
        <f>IF(SelectScenario!G12="YES",1,IF(SelectScenario!G13="YES",1.3*(I20/B20),IF(SelectScenario!G14="YES",1.4,I20/B20)))</f>
        <v>1.599846793609105</v>
      </c>
      <c r="Q20" s="15" t="s">
        <v>106</v>
      </c>
      <c r="R20" s="15"/>
      <c r="S20" s="15"/>
      <c r="T20" s="15"/>
      <c r="U20" s="131"/>
    </row>
    <row r="21" spans="1:21">
      <c r="A21" s="217"/>
      <c r="B21" s="15"/>
      <c r="C21" s="15"/>
      <c r="D21" s="15"/>
      <c r="E21" s="15"/>
      <c r="F21" s="15"/>
      <c r="G21" s="15"/>
      <c r="H21" s="218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31"/>
    </row>
    <row r="22" spans="1:21">
      <c r="A22" s="216" t="s">
        <v>324</v>
      </c>
      <c r="B22" s="145"/>
      <c r="C22" s="145"/>
      <c r="D22" s="145"/>
      <c r="E22" s="145"/>
      <c r="F22" s="145"/>
      <c r="G22" s="15"/>
      <c r="H22" s="145" t="s">
        <v>325</v>
      </c>
      <c r="I22" s="145"/>
      <c r="J22" s="145"/>
      <c r="K22" s="145"/>
      <c r="L22" s="145"/>
      <c r="M22" s="145"/>
      <c r="N22" s="15"/>
      <c r="O22" s="145" t="s">
        <v>326</v>
      </c>
      <c r="P22" s="145"/>
      <c r="Q22" s="145"/>
      <c r="R22" s="145"/>
      <c r="S22" s="145"/>
      <c r="T22" s="145"/>
      <c r="U22" s="131"/>
    </row>
    <row r="23" spans="1:21" ht="13.5">
      <c r="A23" s="217" t="s">
        <v>210</v>
      </c>
      <c r="B23" s="147">
        <f>DATAINPUTncm!F33-DATAINPUTncm!F58</f>
        <v>176</v>
      </c>
      <c r="C23" s="15" t="str">
        <f>IF(UNIT="SI-Unit","C-Degree","F-Degree")</f>
        <v>F-Degree</v>
      </c>
      <c r="D23" s="15"/>
      <c r="E23" s="15"/>
      <c r="F23" s="15"/>
      <c r="G23" s="15"/>
      <c r="H23" s="11" t="s">
        <v>150</v>
      </c>
      <c r="I23" s="130">
        <f>DATAINPUTncm!F37-DATAINPUTncm!F58</f>
        <v>156</v>
      </c>
      <c r="J23" s="15" t="str">
        <f>IF(UNIT="SI-Unit","C-Degree","F-Degree")</f>
        <v>F-Degree</v>
      </c>
      <c r="K23" s="15"/>
      <c r="L23" s="15"/>
      <c r="M23" s="15"/>
      <c r="N23" s="15"/>
      <c r="O23" s="11" t="s">
        <v>207</v>
      </c>
      <c r="P23" s="179">
        <f>(B19/Others!D7+1)*DATAINPUTncm!F25/(IF(UNIT="SI-Unit",Others!C7,Others!B7))*IF(UNIT="SI-UNIT",3600,1)</f>
        <v>2.0046172303892904</v>
      </c>
      <c r="Q23" s="15" t="str">
        <f>IF(UNIT="SI-Unit","KG/HR","LB/HR")</f>
        <v>LB/HR</v>
      </c>
      <c r="R23" s="15"/>
      <c r="S23" s="15"/>
      <c r="T23" s="15"/>
      <c r="U23" s="131"/>
    </row>
    <row r="24" spans="1:21" ht="13.5">
      <c r="A24" s="217" t="s">
        <v>259</v>
      </c>
      <c r="B24" s="130">
        <f>DATAINPUTncm!M33-DATAINPUTncm!M58</f>
        <v>156</v>
      </c>
      <c r="C24" s="15" t="str">
        <f>IF(UNIT="SI-Unit","C-Degree","F-Degree")</f>
        <v>F-Degree</v>
      </c>
      <c r="D24" s="15"/>
      <c r="E24" s="15"/>
      <c r="F24" s="15"/>
      <c r="G24" s="15"/>
      <c r="H24" s="11" t="s">
        <v>260</v>
      </c>
      <c r="I24" s="130">
        <f>DATAINPUTncm!M37-DATAINPUTncm!M58</f>
        <v>136</v>
      </c>
      <c r="J24" s="15" t="str">
        <f>IF(UNIT="SI-Unit","C-Degree","F-Degree")</f>
        <v>F-Degree</v>
      </c>
      <c r="K24" s="15"/>
      <c r="L24" s="15"/>
      <c r="M24" s="15"/>
      <c r="N24" s="15"/>
      <c r="O24" s="11" t="s">
        <v>261</v>
      </c>
      <c r="P24" s="210">
        <f>(B20/Others!D7+1)*DATAINPUTncm!M25/60/(IF(UNIT="SI-Unit",Others!C7,Others!B7))*IF(UNIT="SI-UNIT",3600,1)</f>
        <v>2.5471209032999237E-2</v>
      </c>
      <c r="Q24" s="15" t="str">
        <f>IF(UNIT="SI-Unit","KG/HR","LB/HR")</f>
        <v>LB/HR</v>
      </c>
      <c r="R24" s="15"/>
      <c r="S24" s="15"/>
      <c r="T24" s="15"/>
      <c r="U24" s="131"/>
    </row>
    <row r="25" spans="1:21">
      <c r="A25" s="217"/>
      <c r="B25" s="15"/>
      <c r="C25" s="15"/>
      <c r="D25" s="15"/>
      <c r="E25" s="15"/>
      <c r="F25" s="15"/>
      <c r="G25" s="15"/>
      <c r="H25" s="218"/>
      <c r="I25" s="15"/>
      <c r="J25" s="15"/>
      <c r="L25" s="15"/>
      <c r="M25" s="15"/>
      <c r="N25" s="15"/>
      <c r="O25" s="15"/>
      <c r="P25" s="15"/>
      <c r="Q25" s="15"/>
      <c r="R25" s="15"/>
      <c r="S25" s="15"/>
      <c r="T25" s="15"/>
      <c r="U25" s="131"/>
    </row>
    <row r="26" spans="1:21">
      <c r="A26" s="216" t="s">
        <v>327</v>
      </c>
      <c r="B26" s="145"/>
      <c r="C26" s="145"/>
      <c r="D26" s="145"/>
      <c r="E26" s="145"/>
      <c r="F26" s="145"/>
      <c r="G26" s="15"/>
      <c r="H26" s="145" t="s">
        <v>328</v>
      </c>
      <c r="I26" s="145"/>
      <c r="J26" s="145"/>
      <c r="K26" s="145"/>
      <c r="L26" s="145"/>
      <c r="M26" s="145"/>
      <c r="N26" s="15"/>
      <c r="O26" s="145" t="s">
        <v>329</v>
      </c>
      <c r="P26" s="145"/>
      <c r="Q26" s="145"/>
      <c r="R26" s="145"/>
      <c r="S26" s="145"/>
      <c r="T26" s="145"/>
      <c r="U26" s="131"/>
    </row>
    <row r="27" spans="1:21" ht="13.5">
      <c r="A27" s="217" t="s">
        <v>147</v>
      </c>
      <c r="B27" s="146">
        <f>LSSS(Others!D7,IF(UNIT="SI-Unit",Others!N7,Others!M7),IF(UNIT="SI-Unit",Others!P7,Others!O7),IF(UNIT="SI-Unit",Others!C7,Others!B7),Others!H7,Others!I7,Others!J7,Others!K7,Others!L7,Others!B10,Others!C10,Others!D10,Others!E10,Others!F10,IF(B19,B19,I19),IF(DATAINPUTncm!F32,DATAINPUTncm!F33,DATAINPUTncm!F37),IF(UNIT="SI-Unit",Others!C3,Others!B3),DATAINPUTncm!F58)</f>
        <v>4.1822492687425754</v>
      </c>
      <c r="C27" s="15" t="s">
        <v>93</v>
      </c>
      <c r="D27" s="11" t="s">
        <v>15</v>
      </c>
      <c r="E27" s="148">
        <f>B27</f>
        <v>4.1822492687425754</v>
      </c>
      <c r="F27" s="15" t="s">
        <v>93</v>
      </c>
      <c r="G27" s="15"/>
      <c r="H27" s="11" t="s">
        <v>211</v>
      </c>
      <c r="I27" s="146">
        <f>100-Others!E7-E27</f>
        <v>86.267750731257422</v>
      </c>
      <c r="J27" s="15" t="s">
        <v>93</v>
      </c>
      <c r="K27" s="11" t="s">
        <v>15</v>
      </c>
      <c r="L27" s="148">
        <f>I27</f>
        <v>86.267750731257422</v>
      </c>
      <c r="M27" s="15" t="s">
        <v>93</v>
      </c>
      <c r="N27" s="15"/>
      <c r="O27" s="11" t="s">
        <v>102</v>
      </c>
      <c r="P27" s="146">
        <f>LJ(DATAINPUTncm!F25,DATAINPUTncm!W66,DATAINPUTncm!W69,DATAINPUTncm!W72,DATAINPUTncm!F58,DATAINPUTncm!S66,DATAINPUTncm!S69,DATAINPUTncm!S72,DATAINPUTncm!S75,UNIT)</f>
        <v>0.48538668476086411</v>
      </c>
      <c r="Q27" s="15" t="s">
        <v>93</v>
      </c>
      <c r="R27" s="11" t="s">
        <v>15</v>
      </c>
      <c r="S27" s="180">
        <f>P27</f>
        <v>0.48538668476086411</v>
      </c>
      <c r="T27" s="15" t="s">
        <v>93</v>
      </c>
      <c r="U27" s="131"/>
    </row>
    <row r="28" spans="1:21" ht="13.5">
      <c r="A28" s="217" t="s">
        <v>262</v>
      </c>
      <c r="B28" s="207">
        <f>LSSS(Others!D7,IF(UNIT="SI-Unit",Others!N7,Others!M7),IF(UNIT="SI-Unit",Others!P7,Others!O7),IF(UNIT="SI-Unit",Others!C7,Others!B7),Others!H7,Others!I7,Others!J7,Others!K7,Others!L7,Others!B10,Others!C10,Others!D10,Others!E10,Others!F10,IF(B20,B20,I20),IF(DATAINPUTncm!M33,DATAINPUTncm!M33,DATAINPUTncm!M37),IF(UNIT="SI-Unit",Others!C3,Others!B3),DATAINPUTncm!F58)</f>
        <v>3.7031381356564013</v>
      </c>
      <c r="C28" s="15" t="s">
        <v>93</v>
      </c>
      <c r="D28" s="11" t="s">
        <v>15</v>
      </c>
      <c r="E28" s="148">
        <f>B28</f>
        <v>3.7031381356564013</v>
      </c>
      <c r="F28" s="15" t="s">
        <v>93</v>
      </c>
      <c r="G28" s="15"/>
      <c r="H28" s="11" t="s">
        <v>263</v>
      </c>
      <c r="I28" s="207">
        <f>100-Others!E7-E28</f>
        <v>86.7468618643436</v>
      </c>
      <c r="J28" s="15" t="s">
        <v>93</v>
      </c>
      <c r="K28" s="11" t="s">
        <v>15</v>
      </c>
      <c r="L28" s="148">
        <f>I28</f>
        <v>86.7468618643436</v>
      </c>
      <c r="M28" s="15" t="s">
        <v>93</v>
      </c>
      <c r="N28" s="15"/>
      <c r="O28" s="80" t="s">
        <v>264</v>
      </c>
      <c r="P28" s="266">
        <f>LJ(DATAINPUTncm!F25,DATAINPUTncm!W67,DATAINPUTncm!W70,DATAINPUTncm!W73,DATAINPUTncm!F58,DATAINPUTncm!S66,DATAINPUTncm!S69,DATAINPUTncm!S72,DATAINPUTncm!S75,UNIT)</f>
        <v>0.48538668476086411</v>
      </c>
      <c r="Q28" s="237" t="s">
        <v>93</v>
      </c>
      <c r="R28" s="80" t="s">
        <v>15</v>
      </c>
      <c r="S28" s="267">
        <f>P28</f>
        <v>0.48538668476086411</v>
      </c>
      <c r="T28" s="237" t="s">
        <v>93</v>
      </c>
      <c r="U28" s="131"/>
    </row>
    <row r="29" spans="1:21" ht="12.75" thickBot="1">
      <c r="A29" s="217"/>
      <c r="B29" s="15"/>
      <c r="C29" s="15"/>
      <c r="D29" s="15"/>
      <c r="E29" s="15"/>
      <c r="F29" s="15"/>
      <c r="G29" s="15"/>
      <c r="H29" s="11"/>
      <c r="I29" s="15"/>
      <c r="J29" s="15"/>
      <c r="K29" s="15"/>
      <c r="L29" s="15"/>
      <c r="M29" s="15"/>
      <c r="N29" s="15"/>
      <c r="O29" s="11"/>
      <c r="P29" s="15"/>
      <c r="Q29" s="15"/>
      <c r="R29" s="15"/>
      <c r="S29" s="15"/>
      <c r="T29" s="15"/>
      <c r="U29" s="131"/>
    </row>
    <row r="30" spans="1:21" ht="12.75" thickBot="1">
      <c r="A30" s="256" t="s">
        <v>99</v>
      </c>
      <c r="B30" s="257"/>
      <c r="C30" s="257"/>
      <c r="D30" s="25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8"/>
      <c r="T30" s="257"/>
      <c r="U30" s="259"/>
    </row>
    <row r="31" spans="1:21">
      <c r="A31" s="216" t="s">
        <v>330</v>
      </c>
      <c r="B31" s="145"/>
      <c r="C31" s="145"/>
      <c r="D31" s="145"/>
      <c r="E31" s="145"/>
      <c r="F31" s="145"/>
      <c r="G31" s="15"/>
      <c r="H31" s="145" t="s">
        <v>331</v>
      </c>
      <c r="I31" s="145"/>
      <c r="J31" s="145"/>
      <c r="K31" s="145"/>
      <c r="L31" s="145"/>
      <c r="M31" s="145"/>
      <c r="N31" s="15"/>
      <c r="O31" s="145" t="s">
        <v>332</v>
      </c>
      <c r="P31" s="145"/>
      <c r="Q31" s="145"/>
      <c r="R31" s="145"/>
      <c r="S31" s="145"/>
      <c r="T31" s="145"/>
      <c r="U31" s="131"/>
    </row>
    <row r="32" spans="1:21" ht="13.5">
      <c r="A32" s="217" t="s">
        <v>151</v>
      </c>
      <c r="B32" s="146">
        <f>DATAINPUTncm!F25*(AFUEAncm!I27-P27*IF(SelectScenario!G23="YES",0,IF(AND(SelectScenario!G11="YES",SelectScenario!B27="Outdoor"),3.3,1.7)))/100</f>
        <v>32151.128020032327</v>
      </c>
      <c r="C32" s="15" t="str">
        <f>IF(UNIT="SI-Unit","kW","BTU/HR")</f>
        <v>BTU/HR</v>
      </c>
      <c r="D32" s="15"/>
      <c r="E32" s="15"/>
      <c r="F32" s="15"/>
      <c r="G32" s="15"/>
      <c r="H32" s="219" t="s">
        <v>103</v>
      </c>
      <c r="I32" s="149">
        <f>0.7</f>
        <v>0.7</v>
      </c>
      <c r="J32" s="15" t="s">
        <v>106</v>
      </c>
      <c r="K32" s="15"/>
      <c r="L32" s="15"/>
      <c r="M32" s="15"/>
      <c r="N32" s="15"/>
      <c r="O32" s="276" t="s">
        <v>320</v>
      </c>
      <c r="P32" s="238">
        <f>IF(UNIT="SI-Unit",5.6,42)</f>
        <v>42</v>
      </c>
      <c r="Q32" s="237" t="str">
        <f>IF(UNIT="SI-Unit","C-Degree","F-Degree")</f>
        <v>F-Degree</v>
      </c>
      <c r="R32" s="15"/>
      <c r="S32" s="15"/>
      <c r="T32" s="15"/>
      <c r="U32" s="131"/>
    </row>
    <row r="33" spans="1:21" ht="13.5">
      <c r="A33" s="217" t="s">
        <v>265</v>
      </c>
      <c r="B33" s="207">
        <f>DATAINPUTncm!M25*(I28-P27*IF(SelectScenario!G23="YES",0,IF(AND(SelectScenario!G11="YES",SelectScenario!B27="Outdoor"),3.3,1.7)))/100</f>
        <v>24647.385861515948</v>
      </c>
      <c r="C33" s="15" t="str">
        <f>IF(UNIT="SI-Unit","kW","BTU/HR")</f>
        <v>BTU/HR</v>
      </c>
      <c r="D33" s="15"/>
      <c r="E33" s="15"/>
      <c r="F33" s="15"/>
      <c r="G33" s="15"/>
      <c r="H33" s="219" t="s">
        <v>266</v>
      </c>
      <c r="I33" s="149">
        <f>IF((1+I32)*B33/B32-1&lt;0,0,(1+I32)*B33/B32-1)</f>
        <v>0.30323750813564709</v>
      </c>
      <c r="J33" s="15" t="s">
        <v>106</v>
      </c>
      <c r="K33" s="15"/>
      <c r="L33" s="15"/>
      <c r="M33" s="15"/>
      <c r="N33" s="15"/>
      <c r="O33" s="219" t="s">
        <v>267</v>
      </c>
      <c r="P33" s="207">
        <f>TOARHXH(P37,1,UNIT)</f>
        <v>42</v>
      </c>
      <c r="Q33" s="15" t="str">
        <f>IF(UNIT="SI-Unit","C-Degree","F-Degree")</f>
        <v>F-Degree</v>
      </c>
      <c r="R33" s="15"/>
      <c r="S33" s="15"/>
      <c r="T33" s="15"/>
      <c r="U33" s="131"/>
    </row>
    <row r="34" spans="1:21" ht="13.5">
      <c r="A34" s="217" t="s">
        <v>307</v>
      </c>
      <c r="B34" s="207">
        <f>IF(P37&lt;=IF(UNIT="SI_Unit",-15,5),B33,(B32/(1+I32)-B33)*(P37-P34)/(P37-IF(UNIT="SI-Unit",-15,5))+B33)</f>
        <v>24647.385861515948</v>
      </c>
      <c r="C34" s="15" t="str">
        <f>IF(UNIT="SI-Unit","kW","BTU/HR")</f>
        <v>BTU/HR</v>
      </c>
      <c r="D34" s="15"/>
      <c r="E34" s="15"/>
      <c r="F34" s="15"/>
      <c r="G34" s="15"/>
      <c r="H34" s="219"/>
      <c r="I34" s="15"/>
      <c r="J34" s="15"/>
      <c r="K34" s="15"/>
      <c r="L34" s="15"/>
      <c r="M34" s="15"/>
      <c r="N34" s="15"/>
      <c r="O34" s="219" t="s">
        <v>270</v>
      </c>
      <c r="P34" s="207">
        <f>TOARHXH(P37,2,UNIT)</f>
        <v>5</v>
      </c>
      <c r="Q34" s="15" t="str">
        <f>IF(UNIT="SI-Unit","C-Degree","F-Degree")</f>
        <v>F-Degree</v>
      </c>
      <c r="R34" s="15"/>
      <c r="S34" s="15"/>
      <c r="T34" s="15"/>
      <c r="U34" s="131"/>
    </row>
    <row r="35" spans="1:21">
      <c r="A35" s="217"/>
      <c r="B35" s="265"/>
      <c r="C35" s="15"/>
      <c r="D35" s="15"/>
      <c r="E35" s="15"/>
      <c r="F35" s="15"/>
      <c r="G35" s="15"/>
      <c r="H35" s="219"/>
      <c r="I35" s="15"/>
      <c r="J35" s="15"/>
      <c r="K35" s="15"/>
      <c r="L35" s="15"/>
      <c r="M35" s="15"/>
      <c r="N35" s="15"/>
      <c r="O35" s="219"/>
      <c r="P35" s="15"/>
      <c r="Q35" s="15"/>
      <c r="R35" s="15"/>
      <c r="S35" s="15"/>
      <c r="T35" s="15"/>
      <c r="U35" s="131"/>
    </row>
    <row r="36" spans="1:21">
      <c r="A36" s="270" t="s">
        <v>273</v>
      </c>
      <c r="B36" s="270"/>
      <c r="C36" s="270"/>
      <c r="D36" s="270"/>
      <c r="E36" s="270"/>
      <c r="F36" s="270"/>
      <c r="G36" s="15"/>
      <c r="H36" s="270" t="s">
        <v>272</v>
      </c>
      <c r="I36" s="270"/>
      <c r="J36" s="270"/>
      <c r="K36" s="270"/>
      <c r="L36" s="270"/>
      <c r="M36" s="270"/>
      <c r="N36" s="15"/>
      <c r="O36" s="269" t="s">
        <v>268</v>
      </c>
      <c r="P36" s="268"/>
      <c r="Q36" s="145"/>
      <c r="R36" s="145"/>
      <c r="S36" s="145"/>
      <c r="T36" s="145"/>
      <c r="U36" s="131"/>
    </row>
    <row r="37" spans="1:21" ht="13.5">
      <c r="A37" s="11" t="s">
        <v>271</v>
      </c>
      <c r="B37" s="149">
        <f>TOARHXH(P37,3,UNIT)</f>
        <v>0</v>
      </c>
      <c r="C37" s="15" t="s">
        <v>106</v>
      </c>
      <c r="D37" s="15"/>
      <c r="E37" s="15"/>
      <c r="F37" s="15"/>
      <c r="G37" s="15"/>
      <c r="H37" s="56" t="s">
        <v>274</v>
      </c>
      <c r="I37" s="277">
        <f>1-B37</f>
        <v>1</v>
      </c>
      <c r="J37" s="15" t="s">
        <v>106</v>
      </c>
      <c r="K37" s="15"/>
      <c r="L37" s="15"/>
      <c r="M37" s="15"/>
      <c r="N37" s="15"/>
      <c r="O37" s="11" t="s">
        <v>269</v>
      </c>
      <c r="P37" s="146">
        <f>IF(UNIT="SI-Unit",18.3,65)-((IF(UNIT="SI-Unit",18.3,65)-IF(UNIT="SI-Unit",-15,5))*(1+I32)*B33/B32)</f>
        <v>-13.194250488138834</v>
      </c>
      <c r="Q37" s="15" t="str">
        <f>IF(UNIT="SI-Unit","C-Degree","F-Degree")</f>
        <v>F-Degree</v>
      </c>
      <c r="R37" s="15"/>
      <c r="S37" s="15"/>
      <c r="T37" s="15"/>
      <c r="U37" s="131"/>
    </row>
    <row r="38" spans="1:21">
      <c r="A38" s="11"/>
      <c r="B38" s="15"/>
      <c r="C38" s="15"/>
      <c r="D38" s="15"/>
      <c r="E38" s="15"/>
      <c r="F38" s="15"/>
      <c r="G38" s="15"/>
      <c r="H38" s="56"/>
      <c r="J38" s="15"/>
      <c r="K38" s="15"/>
      <c r="L38" s="15"/>
      <c r="M38" s="15"/>
      <c r="N38" s="15"/>
      <c r="O38" s="11"/>
      <c r="P38" s="265"/>
      <c r="Q38" s="15"/>
      <c r="R38" s="15"/>
      <c r="S38" s="15"/>
      <c r="T38" s="15"/>
      <c r="U38" s="131"/>
    </row>
    <row r="39" spans="1:21">
      <c r="A39" s="243" t="s">
        <v>304</v>
      </c>
      <c r="B39" s="15"/>
      <c r="C39" s="15"/>
      <c r="D39" s="15"/>
      <c r="E39" s="15"/>
      <c r="F39" s="15"/>
      <c r="G39" s="15"/>
      <c r="H39" s="243" t="s">
        <v>306</v>
      </c>
      <c r="I39" s="15"/>
      <c r="J39" s="15"/>
      <c r="K39" s="15"/>
      <c r="L39" s="15"/>
      <c r="M39" s="15"/>
      <c r="N39" s="15"/>
      <c r="O39" s="243" t="s">
        <v>308</v>
      </c>
      <c r="P39" s="265"/>
      <c r="Q39" s="15"/>
      <c r="R39" s="15"/>
      <c r="S39" s="15"/>
      <c r="T39" s="15"/>
      <c r="U39" s="131"/>
    </row>
    <row r="40" spans="1:21" ht="13.5">
      <c r="A40" s="11" t="s">
        <v>305</v>
      </c>
      <c r="B40" s="207">
        <f>IF(P37&lt;=IF(UNIT="SI_Unit",-15,5),I28,(B32/(1+I32)-B33)/(B32-B33)*(P37-P34)/(P37-IF(UNIT="SI-Unit",-15,5))*(I27-I28)+I28)</f>
        <v>86.7468618643436</v>
      </c>
      <c r="C40" s="15" t="s">
        <v>93</v>
      </c>
      <c r="D40" s="15"/>
      <c r="E40" s="15"/>
      <c r="F40" s="15"/>
      <c r="G40" s="15"/>
      <c r="H40" s="11" t="s">
        <v>310</v>
      </c>
      <c r="I40" s="207">
        <f>IF(SelectScenario!G6="Step_Modulating",B37*B40+I37*I28,B37*I27+I37*I28)</f>
        <v>86.7468618643436</v>
      </c>
      <c r="J40" s="15" t="s">
        <v>93</v>
      </c>
      <c r="K40" s="15"/>
      <c r="L40" s="15"/>
      <c r="M40" s="15"/>
      <c r="N40" s="15"/>
      <c r="O40" s="11" t="s">
        <v>309</v>
      </c>
      <c r="P40" s="207">
        <f>IF(SelectScenario!G11="NO",B40-E99,B40-P27*IF(SelectScenario!G10="YES",0,IF(SelectScenario!G10="YES",1.7,3.3)))</f>
        <v>86.067391282242525</v>
      </c>
      <c r="Q40" s="15" t="s">
        <v>93</v>
      </c>
      <c r="R40" s="15"/>
      <c r="S40" s="15"/>
      <c r="T40" s="15"/>
      <c r="U40" s="131"/>
    </row>
    <row r="41" spans="1:21" ht="12.75" thickBot="1">
      <c r="A41" s="158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31"/>
    </row>
    <row r="42" spans="1:21" ht="12.75" thickBot="1">
      <c r="A42" s="225" t="s">
        <v>217</v>
      </c>
      <c r="B42" s="229"/>
      <c r="C42" s="229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30"/>
    </row>
    <row r="43" spans="1:21">
      <c r="A43" s="216" t="s">
        <v>113</v>
      </c>
      <c r="B43" s="145"/>
      <c r="C43" s="145"/>
      <c r="D43" s="145"/>
      <c r="E43" s="145"/>
      <c r="F43" s="145"/>
      <c r="G43" s="15"/>
      <c r="H43" s="145" t="s">
        <v>114</v>
      </c>
      <c r="I43" s="145"/>
      <c r="J43" s="145"/>
      <c r="K43" s="145"/>
      <c r="L43" s="145"/>
      <c r="M43" s="145"/>
      <c r="N43" s="15"/>
      <c r="O43" s="145" t="s">
        <v>115</v>
      </c>
      <c r="P43" s="145"/>
      <c r="Q43" s="145"/>
      <c r="R43" s="145"/>
      <c r="S43" s="145"/>
      <c r="T43" s="145"/>
      <c r="U43" s="131"/>
    </row>
    <row r="44" spans="1:21" ht="13.5">
      <c r="A44" s="241" t="s">
        <v>278</v>
      </c>
      <c r="B44" s="242">
        <f>100*IF(UNIT="SI-Unit",CPAIRSI,CPAIRBRITISH)*(1+B19*Others!D7)/(IF(UNIT="SI-Unit",Others!C7,Others!B7))</f>
        <v>2.1668866401590454E-2</v>
      </c>
      <c r="C44" s="255" t="s">
        <v>106</v>
      </c>
      <c r="D44" s="255"/>
      <c r="E44" s="255"/>
      <c r="F44" s="255"/>
      <c r="G44" s="255"/>
      <c r="H44" s="19" t="s">
        <v>279</v>
      </c>
      <c r="I44" s="242">
        <f>IF(SYSTEMNUMBER&lt;9,0.7*AFUEAncm!P19*AFUEAncm!B44,0)</f>
        <v>2.4266806503609982E-2</v>
      </c>
      <c r="J44" s="255" t="s">
        <v>106</v>
      </c>
      <c r="K44" s="15"/>
      <c r="L44" s="15"/>
      <c r="M44" s="15"/>
      <c r="N44" s="15"/>
      <c r="O44" s="19" t="s">
        <v>277</v>
      </c>
      <c r="P44" s="271">
        <f>(DATAINPUTncm!F33-DATAINPUTncm!F58)/P19+DATAINPUTncm!F58</f>
        <v>184.01053394804165</v>
      </c>
      <c r="Q44" s="255" t="str">
        <f>IF(UNIT="SI-Unit","C-Degree","F-Degree")</f>
        <v>F-Degree</v>
      </c>
      <c r="R44" s="15"/>
      <c r="S44" s="15"/>
      <c r="T44" s="15"/>
      <c r="U44" s="131"/>
    </row>
    <row r="45" spans="1:21" ht="13.5">
      <c r="A45" s="217" t="s">
        <v>275</v>
      </c>
      <c r="B45" s="208">
        <f>100*IF(UNIT="SI-Unit",CPAIRSI,CPAIRBRITISH)*(1+B20*Others!D7)/(IF(UNIT="SI-Unit",Others!C7,Others!B7))</f>
        <v>2.1668866401590454E-2</v>
      </c>
      <c r="C45" s="15" t="s">
        <v>106</v>
      </c>
      <c r="D45" s="15"/>
      <c r="E45" s="15"/>
      <c r="F45" s="15"/>
      <c r="G45" s="15"/>
      <c r="H45" s="11" t="s">
        <v>276</v>
      </c>
      <c r="I45" s="208">
        <f>IF(SYSTEMNUMBER&lt;9,0.7*P20*B45,0)</f>
        <v>2.4266806503609982E-2</v>
      </c>
      <c r="J45" s="255" t="s">
        <v>106</v>
      </c>
      <c r="K45" s="15"/>
      <c r="L45" s="15"/>
      <c r="M45" s="15"/>
      <c r="N45" s="15"/>
      <c r="O45" s="80" t="s">
        <v>333</v>
      </c>
      <c r="P45" s="266">
        <f>(DATAINPUTncm!M33-DATAINPUTncm!M58)/P20+DATAINPUTncm!M58</f>
        <v>171.50933690849143</v>
      </c>
      <c r="Q45" s="237" t="str">
        <f>IF(UNIT="SI-Unit","C-Degree","F-Degree")</f>
        <v>F-Degree</v>
      </c>
      <c r="R45" s="15"/>
      <c r="S45" s="15"/>
      <c r="T45" s="15"/>
      <c r="U45" s="131"/>
    </row>
    <row r="46" spans="1:21">
      <c r="A46" s="158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31"/>
    </row>
    <row r="47" spans="1:21">
      <c r="A47" s="216" t="s">
        <v>116</v>
      </c>
      <c r="B47" s="145"/>
      <c r="C47" s="145"/>
      <c r="D47" s="145"/>
      <c r="E47" s="145"/>
      <c r="F47" s="145"/>
      <c r="G47" s="15"/>
      <c r="H47" s="145" t="s">
        <v>124</v>
      </c>
      <c r="I47" s="145"/>
      <c r="J47" s="145"/>
      <c r="K47" s="145"/>
      <c r="L47" s="145"/>
      <c r="M47" s="145"/>
      <c r="N47" s="15"/>
      <c r="O47" s="145" t="s">
        <v>127</v>
      </c>
      <c r="P47" s="145"/>
      <c r="Q47" s="145"/>
      <c r="R47" s="145"/>
      <c r="S47" s="145"/>
      <c r="T47" s="145"/>
      <c r="U47" s="131"/>
    </row>
    <row r="48" spans="1:21" ht="13.5">
      <c r="A48" s="220" t="s">
        <v>156</v>
      </c>
      <c r="B48" s="149">
        <f>(2.5-0.5)/LN((DATAINPUTncm!F33-DATAINPUTncm!F97)/(DATAINPUTncm!F33-DATAINPUTncm!F101))</f>
        <v>15.200299154134745</v>
      </c>
      <c r="C48" s="15" t="s">
        <v>117</v>
      </c>
      <c r="D48" s="11" t="s">
        <v>334</v>
      </c>
      <c r="E48" s="208">
        <f>60/(4*5*(1-E50))</f>
        <v>7.2857142857142865</v>
      </c>
      <c r="F48" s="15" t="s">
        <v>117</v>
      </c>
      <c r="G48" s="15"/>
      <c r="H48" s="11" t="s">
        <v>126</v>
      </c>
      <c r="I48" s="149">
        <f>E48/B48</f>
        <v>0.47931387480176307</v>
      </c>
      <c r="J48" s="15" t="s">
        <v>106</v>
      </c>
      <c r="K48" s="15"/>
      <c r="L48" s="15"/>
      <c r="M48" s="15"/>
      <c r="N48" s="15"/>
      <c r="O48" s="11" t="s">
        <v>166</v>
      </c>
      <c r="P48" s="149">
        <f>(1-(B74/EXP(I62))/(DATAINPUTncm!F33-DATAINPUTncm!F75))/(1-(B86*B74/EXP(I48+I62))/(DATAINPUTncm!F33-DATAINPUTncm!F75)^2)</f>
        <v>0.87183288767755351</v>
      </c>
      <c r="Q48" s="15" t="s">
        <v>106</v>
      </c>
      <c r="R48" s="15"/>
      <c r="S48" s="15"/>
      <c r="T48" s="15"/>
      <c r="U48" s="131"/>
    </row>
    <row r="49" spans="1:21" ht="13.5">
      <c r="A49" s="220" t="s">
        <v>280</v>
      </c>
      <c r="B49" s="208">
        <f>(5.5-1)/LN((DATAINPUTncm!M33-DATAINPUTncm!M97)/(DATAINPUTncm!M33-DATAINPUTncm!M101))</f>
        <v>33.699940602383791</v>
      </c>
      <c r="C49" s="15" t="s">
        <v>117</v>
      </c>
      <c r="D49" s="11" t="s">
        <v>335</v>
      </c>
      <c r="E49" s="208">
        <f>60/(4*5*(1-E51))</f>
        <v>4.2501302108419425</v>
      </c>
      <c r="F49" s="15" t="s">
        <v>117</v>
      </c>
      <c r="G49" s="15"/>
      <c r="H49" s="11" t="s">
        <v>281</v>
      </c>
      <c r="I49" s="208">
        <f>E49/B49</f>
        <v>0.12611684575317342</v>
      </c>
      <c r="J49" s="15" t="s">
        <v>106</v>
      </c>
      <c r="K49" s="15"/>
      <c r="L49" s="15"/>
      <c r="M49" s="15"/>
      <c r="N49" s="15"/>
      <c r="O49" s="11" t="s">
        <v>282</v>
      </c>
      <c r="P49" s="208">
        <f>(1-(B75/EXP(I63))/(DATAINPUTncm!M33-DATAINPUTncm!M75))/(1-(B87*B75/EXP(I49+I63))/(DATAINPUTncm!M33-DATAINPUTncm!M75)^2)</f>
        <v>0.95796054728394475</v>
      </c>
      <c r="Q49" s="15" t="s">
        <v>106</v>
      </c>
      <c r="R49" s="15"/>
      <c r="S49" s="15"/>
      <c r="T49" s="15"/>
      <c r="U49" s="131"/>
    </row>
    <row r="50" spans="1:21" ht="13.5">
      <c r="A50" s="220"/>
      <c r="B50" s="150"/>
      <c r="C50" s="15"/>
      <c r="D50" s="11" t="s">
        <v>290</v>
      </c>
      <c r="E50" s="208">
        <f>(IF(UNIT="SI-Unit",18.3,65)-P34)/(IF(UNIT="SI-Unit",18.3,65)-IF(UNIT="SI-Unit",-15,5))/(1+I32)</f>
        <v>0.58823529411764708</v>
      </c>
      <c r="F50" s="15" t="s">
        <v>106</v>
      </c>
      <c r="G50" s="15"/>
      <c r="H50" s="11"/>
      <c r="I50" s="150"/>
      <c r="J50" s="15"/>
      <c r="K50" s="15"/>
      <c r="L50" s="15"/>
      <c r="M50" s="15"/>
      <c r="N50" s="15"/>
      <c r="O50" s="11"/>
      <c r="P50" s="150"/>
      <c r="Q50" s="15"/>
      <c r="R50" s="15"/>
      <c r="S50" s="15"/>
      <c r="T50" s="15"/>
      <c r="U50" s="131"/>
    </row>
    <row r="51" spans="1:21" ht="13.5">
      <c r="A51" s="220"/>
      <c r="B51" s="150"/>
      <c r="C51" s="15"/>
      <c r="D51" s="11" t="s">
        <v>289</v>
      </c>
      <c r="E51" s="208">
        <f>(IF(UNIT="SI-Unit",18.3,65)-P33)/(IF(P37&gt;IF(UNIT="SI-Unit",-15,5),IF(UNIT="SI-Unit",36.1,65),IF(UNIT="SI-Unit",33.3,60)))/(1+I33*IF(P37&gt;IF(UNIT="SI-Unit",-15,5),0,1))</f>
        <v>0.29413927311048066</v>
      </c>
      <c r="F51" s="15" t="s">
        <v>106</v>
      </c>
      <c r="G51" s="15"/>
      <c r="H51" s="11"/>
      <c r="I51" s="150"/>
      <c r="J51" s="15"/>
      <c r="K51" s="15"/>
      <c r="L51" s="15"/>
      <c r="M51" s="15"/>
      <c r="N51" s="15"/>
      <c r="O51" s="11"/>
      <c r="P51" s="150"/>
      <c r="Q51" s="15"/>
      <c r="R51" s="15"/>
      <c r="S51" s="15"/>
      <c r="T51" s="15"/>
      <c r="U51" s="131"/>
    </row>
    <row r="52" spans="1:21">
      <c r="A52" s="220"/>
      <c r="B52" s="150"/>
      <c r="C52" s="15"/>
      <c r="D52" s="11"/>
      <c r="E52" s="150"/>
      <c r="F52" s="15"/>
      <c r="G52" s="15"/>
      <c r="H52" s="11"/>
      <c r="I52" s="150"/>
      <c r="J52" s="15"/>
      <c r="K52" s="15"/>
      <c r="L52" s="15"/>
      <c r="M52" s="15"/>
      <c r="N52" s="15"/>
      <c r="O52" s="11"/>
      <c r="P52" s="150"/>
      <c r="Q52" s="15"/>
      <c r="R52" s="15"/>
      <c r="S52" s="15"/>
      <c r="T52" s="15"/>
      <c r="U52" s="131"/>
    </row>
    <row r="53" spans="1:21">
      <c r="A53" s="243" t="s">
        <v>317</v>
      </c>
      <c r="B53" s="150"/>
      <c r="C53" s="15"/>
      <c r="D53" s="11"/>
      <c r="E53" s="150"/>
      <c r="F53" s="15"/>
      <c r="G53" s="15"/>
      <c r="H53" s="243" t="s">
        <v>316</v>
      </c>
      <c r="I53" s="150"/>
      <c r="J53" s="15"/>
      <c r="K53" s="15"/>
      <c r="L53" s="15"/>
      <c r="M53" s="15"/>
      <c r="N53" s="15"/>
      <c r="O53" s="11"/>
      <c r="P53" s="150"/>
      <c r="Q53" s="15"/>
      <c r="R53" s="15"/>
      <c r="S53" s="15"/>
      <c r="T53" s="15"/>
      <c r="U53" s="131"/>
    </row>
    <row r="54" spans="1:21" ht="13.5">
      <c r="A54" s="11" t="s">
        <v>311</v>
      </c>
      <c r="B54" s="208">
        <f>100-Others!E7-P27*(IF(SelectScenario!G10="YES",0,IF(SelectScenario!G11="YES",IF(SelectScenario!B27="Isolated",1.7,3.3),0)))-(E49/(E49+DATAINPUTncm!F79/DATAINPUTncm!M25/E63)*(B96+I96+B100+I100))</f>
        <v>88.60057063359173</v>
      </c>
      <c r="C54" s="15" t="s">
        <v>93</v>
      </c>
      <c r="D54" s="11"/>
      <c r="E54" s="150"/>
      <c r="F54" s="15"/>
      <c r="G54" s="15"/>
      <c r="H54" s="11" t="s">
        <v>318</v>
      </c>
      <c r="I54" s="208">
        <f>100-Others!E7-P27*(IF(SelectScenario!G10="YES",0,IF(SelectScenario!G11="YES",IF(SelectScenario!B27="Isolated",1.7,3.3),0)))-(E48/(E48+DATAINPUTncm!F79/DATAINPUTncm!F25/E62)*(B95+I95+B99+I99))</f>
        <v>86.76550957194118</v>
      </c>
      <c r="J54" s="15" t="s">
        <v>93</v>
      </c>
      <c r="K54" s="15"/>
      <c r="L54" s="15"/>
      <c r="M54" s="15"/>
      <c r="N54" s="15"/>
      <c r="O54" s="11"/>
      <c r="P54" s="150"/>
      <c r="Q54" s="15"/>
      <c r="R54" s="15"/>
      <c r="S54" s="15"/>
      <c r="T54" s="15"/>
      <c r="U54" s="131"/>
    </row>
    <row r="55" spans="1:21" ht="12.75" thickBot="1">
      <c r="A55" s="220"/>
      <c r="B55" s="150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31"/>
    </row>
    <row r="56" spans="1:21" ht="12.75" thickBot="1">
      <c r="A56" s="225" t="s">
        <v>218</v>
      </c>
      <c r="B56" s="228"/>
      <c r="C56" s="229"/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  <c r="P56" s="229"/>
      <c r="Q56" s="229"/>
      <c r="R56" s="229"/>
      <c r="S56" s="229"/>
      <c r="T56" s="229"/>
      <c r="U56" s="230"/>
    </row>
    <row r="57" spans="1:21">
      <c r="A57" s="216" t="s">
        <v>174</v>
      </c>
      <c r="B57" s="145"/>
      <c r="C57" s="145"/>
      <c r="D57" s="145"/>
      <c r="E57" s="145"/>
      <c r="F57" s="145"/>
      <c r="G57" s="15"/>
      <c r="H57" s="145" t="s">
        <v>194</v>
      </c>
      <c r="I57" s="145"/>
      <c r="J57" s="145"/>
      <c r="K57" s="145"/>
      <c r="L57" s="145"/>
      <c r="M57" s="145"/>
      <c r="N57" s="15"/>
      <c r="O57" s="15"/>
      <c r="P57" s="15"/>
      <c r="Q57" s="15"/>
      <c r="R57" s="15"/>
      <c r="S57" s="15"/>
      <c r="T57" s="15"/>
      <c r="U57" s="131"/>
    </row>
    <row r="58" spans="1:21" ht="13.5">
      <c r="A58" s="217" t="s">
        <v>175</v>
      </c>
      <c r="B58" s="149">
        <f>KS1OFF(DATAINPUTncm!F33,P44,DATAINPUTncm!F58,B70,B66,P19,B44,I44,I70,L70,1,SYSTEMNUMBER,UNIT,P34)</f>
        <v>1.1762149187765532</v>
      </c>
      <c r="C58" s="15" t="s">
        <v>106</v>
      </c>
      <c r="D58" s="15"/>
      <c r="E58" s="15"/>
      <c r="F58" s="15"/>
      <c r="G58" s="15"/>
      <c r="H58" s="11" t="s">
        <v>196</v>
      </c>
      <c r="I58" s="149">
        <f>KS1OFF(DATAINPUTncm!F33,P44,DATAINPUTncm!F54,B70,B66,P19,B44,I44,I70,L70,2,SYSTEMNUMBER,UNIT,P34)</f>
        <v>1.1129276897426326</v>
      </c>
      <c r="J58" s="15" t="s">
        <v>106</v>
      </c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31"/>
    </row>
    <row r="59" spans="1:21" ht="13.5">
      <c r="A59" s="217" t="s">
        <v>300</v>
      </c>
      <c r="B59" s="208">
        <f>KS1OFF(DATAINPUTncm!M33,P45,DATAINPUTncm!M58,B71,B66,P20,B45,I45,I71,L70,1,SYSTEMNUMBER,UNIT,P33)</f>
        <v>1.2161078893214692</v>
      </c>
      <c r="C59" s="15" t="s">
        <v>106</v>
      </c>
      <c r="D59" s="15"/>
      <c r="E59" s="15"/>
      <c r="F59" s="15"/>
      <c r="G59" s="15"/>
      <c r="H59" s="11" t="s">
        <v>301</v>
      </c>
      <c r="I59" s="208">
        <f>KS1OFF(DATAINPUTncm!M33,P45,DATAINPUTncm!M54,B70,B66,P20,B45,I45,I70,L70,2,SYSTEMNUMBER,UNIT,P33)</f>
        <v>1.2607770376005225</v>
      </c>
      <c r="J59" s="15" t="s">
        <v>106</v>
      </c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31"/>
    </row>
    <row r="60" spans="1:21">
      <c r="A60" s="158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31"/>
    </row>
    <row r="61" spans="1:21">
      <c r="A61" s="216" t="s">
        <v>118</v>
      </c>
      <c r="B61" s="145"/>
      <c r="C61" s="145"/>
      <c r="D61" s="145"/>
      <c r="E61" s="145"/>
      <c r="F61" s="145"/>
      <c r="G61" s="15"/>
      <c r="H61" s="145" t="s">
        <v>125</v>
      </c>
      <c r="I61" s="145"/>
      <c r="J61" s="145"/>
      <c r="K61" s="145"/>
      <c r="L61" s="145"/>
      <c r="M61" s="145"/>
      <c r="N61" s="15"/>
      <c r="O61" s="145" t="s">
        <v>128</v>
      </c>
      <c r="P61" s="145"/>
      <c r="Q61" s="145"/>
      <c r="R61" s="145"/>
      <c r="S61" s="145"/>
      <c r="T61" s="145"/>
      <c r="U61" s="131"/>
    </row>
    <row r="62" spans="1:21" ht="13.5">
      <c r="A62" s="220" t="s">
        <v>157</v>
      </c>
      <c r="B62" s="149">
        <f>(9-1.5)/LN((DATAINPUTncm!F67-DATAINPUTncm!F75)/(DATAINPUTncm!F71-DATAINPUTncm!F75))</f>
        <v>17.546157484592559</v>
      </c>
      <c r="C62" s="15" t="s">
        <v>117</v>
      </c>
      <c r="D62" s="11" t="s">
        <v>291</v>
      </c>
      <c r="E62" s="208">
        <f>E48*(1/E50-1)</f>
        <v>5.1000000000000005</v>
      </c>
      <c r="F62" s="15" t="s">
        <v>117</v>
      </c>
      <c r="G62" s="15"/>
      <c r="H62" s="11" t="s">
        <v>164</v>
      </c>
      <c r="I62" s="149">
        <f>IF(SelectScenario!G58="YES",(E62-DATAINPUTncm!H86)/B62,E62/B62)</f>
        <v>0.290661930082319</v>
      </c>
      <c r="J62" s="15" t="s">
        <v>106</v>
      </c>
      <c r="K62" s="15"/>
      <c r="L62" s="15"/>
      <c r="M62" s="15"/>
      <c r="N62" s="15"/>
      <c r="O62" s="11" t="s">
        <v>167</v>
      </c>
      <c r="P62" s="149">
        <f>IF(SelectScenario!G59="YES",1,0.9)*(1-(B86/EXP(I48))/(DATAINPUTncm!F33-DATAINPUTncm!F75))/(1-(B86*B74/EXP(I48+I62))/(DATAINPUTncm!F33-DATAINPUTncm!F75)^2)</f>
        <v>0.48347766374623724</v>
      </c>
      <c r="Q62" s="15" t="s">
        <v>106</v>
      </c>
      <c r="R62" s="15"/>
      <c r="S62" s="15"/>
      <c r="T62" s="15"/>
      <c r="U62" s="131"/>
    </row>
    <row r="63" spans="1:21" ht="13.5">
      <c r="A63" s="220" t="s">
        <v>284</v>
      </c>
      <c r="B63" s="208">
        <f>(9-1.5)/LN((DATAINPUTncm!M67-DATAINPUTncm!M75)/(DATAINPUTncm!M71-DATAINPUTncm!M75))</f>
        <v>17.546157484592559</v>
      </c>
      <c r="C63" s="15" t="s">
        <v>117</v>
      </c>
      <c r="D63" s="11" t="s">
        <v>292</v>
      </c>
      <c r="E63" s="208">
        <f>E49*(1/E51-1)</f>
        <v>10.199250063670281</v>
      </c>
      <c r="F63" s="15" t="s">
        <v>117</v>
      </c>
      <c r="G63" s="15"/>
      <c r="H63" s="11" t="s">
        <v>293</v>
      </c>
      <c r="I63" s="208">
        <f>IF(SelectScenario!G58="YES",(E63-DATAINPUTncm!H86)/B63,E63/B63)</f>
        <v>0.58128111939188598</v>
      </c>
      <c r="J63" s="15" t="s">
        <v>106</v>
      </c>
      <c r="K63" s="15"/>
      <c r="L63" s="15"/>
      <c r="M63" s="15"/>
      <c r="N63" s="15"/>
      <c r="O63" s="11" t="s">
        <v>294</v>
      </c>
      <c r="P63" s="208">
        <f>IF(SelectScenario!G59="YES",1,0.9)*(1-(B87/EXP(I49))/(DATAINPUTncm!M33-DATAINPUTncm!M75))/(1-(B87*B75/EXP(I49+I64))/(DATAINPUTncm!M33-DATAINPUTncm!M75)^2)</f>
        <v>0.22302160182349284</v>
      </c>
      <c r="Q63" s="15" t="s">
        <v>106</v>
      </c>
      <c r="R63" s="15"/>
      <c r="S63" s="15"/>
      <c r="T63" s="15"/>
      <c r="U63" s="131"/>
    </row>
    <row r="64" spans="1:21">
      <c r="A64" s="220"/>
      <c r="B64" s="150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31"/>
    </row>
    <row r="65" spans="1:21">
      <c r="A65" s="216" t="s">
        <v>219</v>
      </c>
      <c r="B65" s="145"/>
      <c r="C65" s="145"/>
      <c r="D65" s="145"/>
      <c r="E65" s="145"/>
      <c r="F65" s="145"/>
      <c r="G65" s="15"/>
      <c r="H65" s="15"/>
      <c r="I65" s="15"/>
      <c r="J65" s="15"/>
      <c r="K65" s="15"/>
      <c r="L65" s="15"/>
      <c r="M65" s="15"/>
      <c r="N65" s="15"/>
      <c r="O65" s="11"/>
      <c r="P65" s="11"/>
      <c r="Q65" s="151"/>
      <c r="R65" s="15"/>
      <c r="S65" s="15"/>
      <c r="T65" s="15"/>
      <c r="U65" s="131"/>
    </row>
    <row r="66" spans="1:21" ht="13.5">
      <c r="A66" s="217" t="s">
        <v>158</v>
      </c>
      <c r="B66" s="147">
        <f>IF(B67="NO",0.05,IF(OR(AND(SYSTEMNUMBER=1,OR(SelectScenario!G15="YES",SelectScenario!G18="YES")),SYSTEMNUMBER=9),1,IF(OR(SYSTEMNUMBER=2,SYSTEMNUMBER=3,SYSTEMNUMBER=4,SYSTEMNUMBER=8,SYSTEMNUMBER=10),0.4,1)))</f>
        <v>0.4</v>
      </c>
      <c r="C66" s="15" t="s">
        <v>106</v>
      </c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1"/>
      <c r="P66" s="11"/>
      <c r="Q66" s="151"/>
      <c r="R66" s="15"/>
      <c r="S66" s="15"/>
      <c r="T66" s="15"/>
      <c r="U66" s="131"/>
    </row>
    <row r="67" spans="1:21">
      <c r="A67" s="217" t="s">
        <v>16</v>
      </c>
      <c r="B67" s="142" t="s">
        <v>18</v>
      </c>
      <c r="C67" s="151" t="s">
        <v>159</v>
      </c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1"/>
      <c r="P67" s="11"/>
      <c r="Q67" s="151"/>
      <c r="R67" s="15"/>
      <c r="S67" s="15"/>
      <c r="T67" s="15"/>
      <c r="U67" s="131"/>
    </row>
    <row r="68" spans="1:21">
      <c r="A68" s="220"/>
      <c r="B68" s="150"/>
      <c r="C68" s="15"/>
      <c r="D68" s="15"/>
      <c r="E68" s="15"/>
      <c r="F68" s="15"/>
      <c r="G68" s="15"/>
      <c r="H68" s="221"/>
      <c r="I68" s="150"/>
      <c r="J68" s="15"/>
      <c r="K68" s="15"/>
      <c r="L68" s="15"/>
      <c r="M68" s="15"/>
      <c r="N68" s="15"/>
      <c r="O68" s="11"/>
      <c r="P68" s="15"/>
      <c r="Q68" s="151"/>
      <c r="R68" s="15"/>
      <c r="S68" s="15"/>
      <c r="T68" s="15"/>
      <c r="U68" s="131"/>
    </row>
    <row r="69" spans="1:21">
      <c r="A69" s="158" t="s">
        <v>129</v>
      </c>
      <c r="B69" s="150"/>
      <c r="C69" s="15"/>
      <c r="D69" s="15"/>
      <c r="E69" s="15"/>
      <c r="F69" s="15"/>
      <c r="G69" s="15"/>
      <c r="H69" s="237"/>
      <c r="I69" s="237"/>
      <c r="J69" s="237"/>
      <c r="K69" s="237"/>
      <c r="L69" s="237"/>
      <c r="M69" s="235"/>
      <c r="N69" s="15"/>
      <c r="O69" s="145" t="s">
        <v>122</v>
      </c>
      <c r="P69" s="145"/>
      <c r="Q69" s="145"/>
      <c r="R69" s="145"/>
      <c r="S69" s="145"/>
      <c r="T69" s="145"/>
      <c r="U69" s="131"/>
    </row>
    <row r="70" spans="1:21" ht="15">
      <c r="A70" s="222" t="s">
        <v>130</v>
      </c>
      <c r="B70" s="234">
        <f>IF(OR(SYSTEMNUMBER=1,SYSTEMNUMBER=2),1,IF(SYSTEMNUMBER=3,0.4,IF(SYSTEMNUMBER=4,0.85,IF(OR(SYSTEMNUMBER=5,SYSTEMNUMBER=6),I70,IF(SYSTEMNUMBER=8,0.85*I70,0)))))</f>
        <v>0.4</v>
      </c>
      <c r="C70" s="183" t="s">
        <v>106</v>
      </c>
      <c r="D70" s="182"/>
      <c r="E70" s="184"/>
      <c r="F70" s="183"/>
      <c r="G70" s="11"/>
      <c r="H70" s="283" t="s">
        <v>144</v>
      </c>
      <c r="I70" s="284">
        <f>DOIDS(B62,DATAINPUTncm!R43,DATAINPUTncm!R46,P82,P74,B78,P19,B66,P70,DATAINPUTncm!W43,DATAINPUTncm!W46,DATAINPUTncm!W49,DATAINPUTncm!W52,DATAINPUTncm!W55,1,E62)</f>
        <v>0.98553363962519636</v>
      </c>
      <c r="J70" s="285" t="s">
        <v>106</v>
      </c>
      <c r="K70" s="286" t="s">
        <v>195</v>
      </c>
      <c r="L70" s="284">
        <f>DOIDS(B62,DATAINPUTncm!R43,DATAINPUTncm!R46,AFUEAncm!P82,P74,AFUEAncm!B78,AFUEAncm!P19,AFUEAncm!B66,P70,DATAINPUTncm!W43,DATAINPUTncm!W46,DATAINPUTncm!W49,DATAINPUTncm!W52,DATAINPUTncm!W55,2,E62)</f>
        <v>0.98224980841951914</v>
      </c>
      <c r="M70" s="285" t="s">
        <v>106</v>
      </c>
      <c r="N70" s="15"/>
      <c r="O70" s="11" t="s">
        <v>123</v>
      </c>
      <c r="P70" s="152">
        <f>IF(SYSTEMNUMBER=3,0.4,IF(OR(SYSTEMNUMBER=4,SYSTEMNUMBER=8),0.85,1))</f>
        <v>0.4</v>
      </c>
      <c r="Q70" s="15" t="s">
        <v>106</v>
      </c>
      <c r="R70" s="15"/>
      <c r="S70" s="15"/>
      <c r="T70" s="15"/>
      <c r="U70" s="131"/>
    </row>
    <row r="71" spans="1:21" ht="13.5">
      <c r="A71" s="11" t="s">
        <v>336</v>
      </c>
      <c r="B71" s="234">
        <f>IF(OR(SYSTEMNUMBER=1,SYSTEMNUMBER=2),1,IF(SYSTEMNUMBER=3,0.4,IF(SYSTEMNUMBER=4,0.85,IF(OR(SYSTEMNUMBER=5,SYSTEMNUMBER=6),I71,IF(SYSTEMNUMBER=8,0.85*I70,0)))))</f>
        <v>0.4</v>
      </c>
      <c r="C71" s="15" t="s">
        <v>106</v>
      </c>
      <c r="D71" s="11"/>
      <c r="E71" s="150"/>
      <c r="F71" s="15"/>
      <c r="G71" s="11"/>
      <c r="H71" s="287" t="s">
        <v>337</v>
      </c>
      <c r="I71" s="284">
        <f>DOIDS(B63,DATAINPUTncm!R43,DATAINPUTncm!R46,P83,P75,B79,P20,B66,P70,DATAINPUTncm!W43,DATAINPUTncm!W46,DATAINPUTncm!W49,DATAINPUTncm!W52,DATAINPUTncm!W55,1,E63)</f>
        <v>0.62869549625954513</v>
      </c>
      <c r="J71" s="255" t="s">
        <v>106</v>
      </c>
      <c r="K71" s="19"/>
      <c r="L71" s="288"/>
      <c r="M71" s="255"/>
      <c r="N71" s="15"/>
      <c r="O71" s="11"/>
      <c r="P71" s="264"/>
      <c r="Q71" s="15"/>
      <c r="R71" s="15"/>
      <c r="S71" s="15"/>
      <c r="T71" s="15"/>
      <c r="U71" s="131"/>
    </row>
    <row r="72" spans="1:21">
      <c r="A72" s="220"/>
      <c r="B72" s="150"/>
      <c r="C72" s="15"/>
      <c r="D72" s="15"/>
      <c r="E72" s="15"/>
      <c r="F72" s="15"/>
      <c r="G72" s="15"/>
      <c r="H72" s="19"/>
      <c r="I72" s="289"/>
      <c r="J72" s="255"/>
      <c r="K72" s="255"/>
      <c r="L72" s="255"/>
      <c r="M72" s="255"/>
      <c r="N72" s="15"/>
      <c r="O72" s="11"/>
      <c r="P72" s="15"/>
      <c r="Q72" s="15"/>
      <c r="R72" s="15"/>
      <c r="S72" s="15"/>
      <c r="T72" s="15"/>
      <c r="U72" s="131"/>
    </row>
    <row r="73" spans="1:21">
      <c r="A73" s="216" t="s">
        <v>221</v>
      </c>
      <c r="B73" s="145"/>
      <c r="C73" s="145"/>
      <c r="D73" s="145"/>
      <c r="E73" s="145"/>
      <c r="F73" s="145"/>
      <c r="G73" s="15"/>
      <c r="H73" s="145" t="s">
        <v>222</v>
      </c>
      <c r="I73" s="145"/>
      <c r="J73" s="145"/>
      <c r="K73" s="145"/>
      <c r="L73" s="145"/>
      <c r="M73" s="145"/>
      <c r="N73" s="15"/>
      <c r="O73" s="145" t="s">
        <v>225</v>
      </c>
      <c r="P73" s="145"/>
      <c r="Q73" s="145"/>
      <c r="R73" s="145"/>
      <c r="S73" s="145"/>
      <c r="T73" s="145"/>
      <c r="U73" s="131"/>
    </row>
    <row r="74" spans="1:21" ht="13.5">
      <c r="A74" s="220" t="s">
        <v>160</v>
      </c>
      <c r="B74" s="146">
        <f>(DATAINPUTncm!F67-DATAINPUTncm!F75)*EXP(DATAINPUTncm!A66/AFUEAncm!B62)</f>
        <v>56.154974486543139</v>
      </c>
      <c r="C74" s="15" t="str">
        <f>IF(UNIT="SI-Unit","C-Degree","F-Degree")</f>
        <v>F-Degree</v>
      </c>
      <c r="D74" s="15"/>
      <c r="E74" s="15"/>
      <c r="F74" s="15"/>
      <c r="G74" s="15"/>
      <c r="H74" s="221" t="s">
        <v>161</v>
      </c>
      <c r="I74" s="146">
        <f>DATAINPUTncm!F75-DATAINPUTncm!F58</f>
        <v>0</v>
      </c>
      <c r="J74" s="15" t="str">
        <f>IF(UNIT="SI-Unit","C-Degree","F-Degree")</f>
        <v>F-Degree</v>
      </c>
      <c r="K74" s="15"/>
      <c r="L74" s="15"/>
      <c r="M74" s="15"/>
      <c r="N74" s="15"/>
      <c r="O74" s="221" t="s">
        <v>168</v>
      </c>
      <c r="P74" s="146">
        <f>IF(SYSTEMNUMBER&lt;9,B74*P62,1.22*P62*B74)</f>
        <v>27.149675872483435</v>
      </c>
      <c r="Q74" s="15" t="str">
        <f>IF(UNIT="SI-Unit","C-Degree","F-Degree")</f>
        <v>F-Degree</v>
      </c>
      <c r="R74" s="15"/>
      <c r="S74" s="15"/>
      <c r="T74" s="15"/>
      <c r="U74" s="131"/>
    </row>
    <row r="75" spans="1:21" ht="13.5">
      <c r="A75" s="220" t="s">
        <v>285</v>
      </c>
      <c r="B75" s="207">
        <f>(DATAINPUTncm!M67-DATAINPUTncm!M75)*EXP(DATAINPUTncm!H66/AFUEAncm!B63)</f>
        <v>56.154974486543139</v>
      </c>
      <c r="C75" s="15" t="str">
        <f>IF(UNIT="SI-Unit","C-Degree","F-Degree")</f>
        <v>F-Degree</v>
      </c>
      <c r="D75" s="15"/>
      <c r="E75" s="15"/>
      <c r="F75" s="15"/>
      <c r="G75" s="15"/>
      <c r="H75" s="221" t="s">
        <v>286</v>
      </c>
      <c r="I75" s="207">
        <f>DATAINPUTncm!M75-DATAINPUTncm!M58</f>
        <v>0</v>
      </c>
      <c r="J75" s="15" t="str">
        <f>IF(UNIT="SI-Unit","C-Degree","F-Degree")</f>
        <v>F-Degree</v>
      </c>
      <c r="K75" s="15"/>
      <c r="L75" s="15"/>
      <c r="M75" s="15"/>
      <c r="N75" s="15"/>
      <c r="O75" s="221" t="s">
        <v>295</v>
      </c>
      <c r="P75" s="207">
        <f>IF(SYSTEMNUMBER&lt;9,B75*P63,1.22*P63*B75)</f>
        <v>12.523772360346223</v>
      </c>
      <c r="Q75" s="15" t="str">
        <f>IF(UNIT="SI-Unit","C-Degree","F-Degree")</f>
        <v>F-Degree</v>
      </c>
      <c r="R75" s="15"/>
      <c r="S75" s="15"/>
      <c r="T75" s="15"/>
      <c r="U75" s="131"/>
    </row>
    <row r="76" spans="1:21">
      <c r="A76" s="158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31"/>
    </row>
    <row r="77" spans="1:21" ht="12.75">
      <c r="A77" s="216" t="s">
        <v>224</v>
      </c>
      <c r="B77" s="145"/>
      <c r="C77" s="145"/>
      <c r="D77" s="145"/>
      <c r="E77" s="145"/>
      <c r="F77" s="14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31"/>
    </row>
    <row r="78" spans="1:21" ht="13.5">
      <c r="A78" s="220" t="s">
        <v>169</v>
      </c>
      <c r="B78" s="146">
        <f>IF(SYSTEMNUMBER&lt;9,I74,1.22*I74)</f>
        <v>0</v>
      </c>
      <c r="C78" s="15" t="str">
        <f>IF(UNIT="SI-Unit","C-Degree","F-Degree")</f>
        <v>F-Degree</v>
      </c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31"/>
    </row>
    <row r="79" spans="1:21" ht="13.5">
      <c r="A79" s="220" t="s">
        <v>296</v>
      </c>
      <c r="B79" s="207">
        <f>IF(SYSTEMNUMBER&lt;9,I75,1.22*I75)</f>
        <v>0</v>
      </c>
      <c r="C79" s="15" t="str">
        <f>IF(UNIT="SI-Unit","C-Degree","F-Degree")</f>
        <v>F-Degree</v>
      </c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31"/>
    </row>
    <row r="80" spans="1:21">
      <c r="A80" s="158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31"/>
    </row>
    <row r="81" spans="1:25" ht="12.75">
      <c r="A81" s="216" t="s">
        <v>220</v>
      </c>
      <c r="B81" s="145"/>
      <c r="C81" s="145"/>
      <c r="D81" s="145"/>
      <c r="E81" s="145"/>
      <c r="F81" s="145"/>
      <c r="G81" s="15"/>
      <c r="H81" s="145" t="s">
        <v>223</v>
      </c>
      <c r="I81" s="145"/>
      <c r="J81" s="145"/>
      <c r="K81" s="145"/>
      <c r="L81" s="145"/>
      <c r="M81" s="145"/>
      <c r="N81" s="15"/>
      <c r="O81" s="145" t="s">
        <v>226</v>
      </c>
      <c r="P81" s="145"/>
      <c r="Q81" s="145"/>
      <c r="R81" s="145"/>
      <c r="S81" s="145"/>
      <c r="T81" s="145"/>
      <c r="U81" s="131"/>
    </row>
    <row r="82" spans="1:25" ht="13.5">
      <c r="A82" s="220" t="s">
        <v>163</v>
      </c>
      <c r="B82" s="146">
        <f>IF(AND(SYSTEMNUMBER&gt;4,SYSTEMNUMBER&lt;9,P19*P70&lt;=B66),B74,B66*B74/P19/P70)</f>
        <v>35.10022004035946</v>
      </c>
      <c r="C82" s="15" t="str">
        <f>IF(UNIT="SI-Unit","C-Degree","F-Degree")</f>
        <v>F-Degree</v>
      </c>
      <c r="D82" s="15"/>
      <c r="E82" s="15"/>
      <c r="F82" s="15"/>
      <c r="G82" s="15"/>
      <c r="H82" s="221" t="s">
        <v>162</v>
      </c>
      <c r="I82" s="147">
        <f>IF(AND(P70*P19&lt;B66,SYSTEMNUMBER=5,,SYSTEMNUMBER=6,,SYSTEMNUMBER=8),I74,B66*I74/(P19*P70))</f>
        <v>0</v>
      </c>
      <c r="J82" s="15" t="str">
        <f>IF(UNIT="SI-Unit","C-Degree","F-Degree")</f>
        <v>F-Degree</v>
      </c>
      <c r="K82" s="15"/>
      <c r="L82" s="15"/>
      <c r="M82" s="15"/>
      <c r="N82" s="15"/>
      <c r="O82" s="221" t="s">
        <v>170</v>
      </c>
      <c r="P82" s="146">
        <f>B82*P62</f>
        <v>16.97017238209185</v>
      </c>
      <c r="Q82" s="15" t="str">
        <f>IF(UNIT="SI-Unit","C-Degree","F-Degree")</f>
        <v>F-Degree</v>
      </c>
      <c r="R82" s="15"/>
      <c r="S82" s="15"/>
      <c r="T82" s="15"/>
      <c r="U82" s="131"/>
    </row>
    <row r="83" spans="1:25" ht="13.5">
      <c r="A83" s="220" t="s">
        <v>288</v>
      </c>
      <c r="B83" s="207">
        <f>IF(AND(SYSTEMNUMBER&gt;4,SYSTEMNUMBER&lt;9,P20*P70&lt;=B66),B75,B66*B75/P20/P70)</f>
        <v>35.10022004035946</v>
      </c>
      <c r="C83" s="15" t="str">
        <f>IF(UNIT="SI-Unit","C-Degree","F-Degree")</f>
        <v>F-Degree</v>
      </c>
      <c r="D83" s="15"/>
      <c r="E83" s="15"/>
      <c r="F83" s="15"/>
      <c r="G83" s="15"/>
      <c r="H83" s="221" t="s">
        <v>287</v>
      </c>
      <c r="I83" s="130">
        <f>IF(AND(P70*P20&lt;B66,SYSTEMNUMBER=5,,SYSTEMNUMBER=6,,SYSTEMNUMBER=8),I75,B66*I75/(P20*P70))</f>
        <v>0</v>
      </c>
      <c r="J83" s="15" t="str">
        <f>IF(UNIT="SI-Unit","C-Degree","F-Degree")</f>
        <v>F-Degree</v>
      </c>
      <c r="K83" s="15"/>
      <c r="L83" s="15"/>
      <c r="M83" s="15"/>
      <c r="N83" s="15"/>
      <c r="O83" s="221" t="s">
        <v>297</v>
      </c>
      <c r="P83" s="207">
        <f>B83*P63</f>
        <v>7.8281072977580317</v>
      </c>
      <c r="Q83" s="15" t="str">
        <f>IF(UNIT="SI-Unit","C-Degree","F-Degree")</f>
        <v>F-Degree</v>
      </c>
      <c r="R83" s="15"/>
      <c r="S83" s="15"/>
      <c r="T83" s="15"/>
      <c r="U83" s="131"/>
    </row>
    <row r="84" spans="1:25">
      <c r="A84" s="158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31"/>
    </row>
    <row r="85" spans="1:25">
      <c r="A85" s="216" t="s">
        <v>227</v>
      </c>
      <c r="B85" s="145"/>
      <c r="C85" s="145"/>
      <c r="D85" s="145"/>
      <c r="E85" s="145"/>
      <c r="F85" s="145"/>
      <c r="G85" s="15"/>
      <c r="H85" s="15"/>
      <c r="I85" s="15"/>
      <c r="J85" s="15"/>
      <c r="K85" s="15"/>
      <c r="L85" s="15"/>
      <c r="M85" s="15"/>
      <c r="N85" s="15"/>
      <c r="O85" s="15" t="s">
        <v>228</v>
      </c>
      <c r="P85" s="15"/>
      <c r="Q85" s="15"/>
      <c r="R85" s="15"/>
      <c r="S85" s="15"/>
      <c r="T85" s="15"/>
      <c r="U85" s="131"/>
    </row>
    <row r="86" spans="1:25" ht="13.5">
      <c r="A86" s="220" t="s">
        <v>165</v>
      </c>
      <c r="B86" s="146">
        <f>(DATAINPUTncm!F33-DATAINPUTncm!F97)*EXP(DATAINPUTncm!A97/AFUEAncm!B48)</f>
        <v>150.8823978448068</v>
      </c>
      <c r="C86" s="15" t="str">
        <f>IF(UNIT="SI-Unit","C-Degree","F-Degree")</f>
        <v>F-Degree</v>
      </c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21" t="s">
        <v>173</v>
      </c>
      <c r="P86" s="207">
        <f>IF(SYSTEMNUMBER&lt;9,P48*B86,P48*B91*B86)</f>
        <v>131.5442366127514</v>
      </c>
      <c r="Q86" s="15" t="str">
        <f>IF(UNIT="SI-Unit","C-Degree","F-Degree")</f>
        <v>F-Degree</v>
      </c>
      <c r="R86" s="15"/>
      <c r="S86" s="15"/>
      <c r="T86" s="15"/>
      <c r="U86" s="131"/>
    </row>
    <row r="87" spans="1:25" ht="13.5">
      <c r="A87" s="220" t="s">
        <v>283</v>
      </c>
      <c r="B87" s="207">
        <f>(DATAINPUTncm!M33-DATAINPUTncm!M97)*EXP(DATAINPUTncm!H97/AFUEAncm!B49)</f>
        <v>146.152430410156</v>
      </c>
      <c r="C87" s="15" t="str">
        <f>IF(UNIT="SI-Unit","C-Degree","F-Degree")</f>
        <v>F-Degree</v>
      </c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21" t="s">
        <v>299</v>
      </c>
      <c r="P87" s="207">
        <f>IF(SYSTEMNUMBER&lt;9,P49*B87,P49*B92*B87)</f>
        <v>140.0082622225917</v>
      </c>
      <c r="Q87" s="15" t="str">
        <f>IF(UNIT="SI-Unit","C-Degree","F-Degree")</f>
        <v>F-Degree</v>
      </c>
      <c r="R87" s="15"/>
      <c r="S87" s="15"/>
      <c r="T87" s="15"/>
      <c r="U87" s="131"/>
    </row>
    <row r="88" spans="1:25" ht="12.75" thickBot="1">
      <c r="A88" s="158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31"/>
    </row>
    <row r="89" spans="1:25" ht="14.25" thickBot="1">
      <c r="A89" s="225" t="s">
        <v>233</v>
      </c>
      <c r="B89" s="226"/>
      <c r="C89" s="226"/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6"/>
      <c r="S89" s="226"/>
      <c r="T89" s="226"/>
      <c r="U89" s="227"/>
      <c r="V89" s="215"/>
      <c r="W89" s="215"/>
      <c r="X89" s="215"/>
      <c r="Y89" s="215"/>
    </row>
    <row r="90" spans="1:25">
      <c r="A90" s="158" t="s">
        <v>171</v>
      </c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31"/>
    </row>
    <row r="91" spans="1:25">
      <c r="A91" s="217" t="s">
        <v>172</v>
      </c>
      <c r="B91" s="130">
        <f>IF(SYSTEMNUMBER&lt;9,1,1+(IF(UNIT="SI-Unit",21.1,70)-P34)*L27/100/(DATAINPUTncm!M33-DATAINPUTncm!M58))</f>
        <v>1</v>
      </c>
      <c r="C91" s="15" t="s">
        <v>106</v>
      </c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31"/>
    </row>
    <row r="92" spans="1:25" ht="13.5">
      <c r="A92" s="217" t="s">
        <v>298</v>
      </c>
      <c r="B92" s="130">
        <f>IF(SYSTEMNUMBER&lt;9,1,1+(IF(UNIT="SI-Unit",21.1,70)-P33)*L28/100/(DATAINPUTncm!M33-DATAINPUTncm!M58))</f>
        <v>1</v>
      </c>
      <c r="C92" s="15" t="s">
        <v>106</v>
      </c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31"/>
    </row>
    <row r="93" spans="1:25">
      <c r="A93" s="158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31"/>
    </row>
    <row r="94" spans="1:25">
      <c r="A94" s="158" t="s">
        <v>197</v>
      </c>
      <c r="B94" s="15"/>
      <c r="C94" s="15"/>
      <c r="D94" s="15"/>
      <c r="E94" s="15"/>
      <c r="F94" s="15"/>
      <c r="G94" s="15"/>
      <c r="H94" s="15" t="s">
        <v>198</v>
      </c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31"/>
    </row>
    <row r="95" spans="1:25" ht="13.5">
      <c r="A95" s="217" t="s">
        <v>229</v>
      </c>
      <c r="B95" s="207">
        <f>IF(SYSTEMNUMBER&lt;9,B27-(B44*P86/I48*(1-1/EXP(I48))),B91*B27-B44*P86/I48*(1-1/EXP(I48)))</f>
        <v>1.9177315798364285</v>
      </c>
      <c r="C95" s="15" t="s">
        <v>93</v>
      </c>
      <c r="D95" s="15"/>
      <c r="E95" s="15"/>
      <c r="F95" s="15"/>
      <c r="G95" s="15"/>
      <c r="H95" s="11" t="s">
        <v>230</v>
      </c>
      <c r="I95" s="207">
        <f>IF(SelectScenario!G58="NO", LSOFF(B58,I62,P74,P82,B78,I82,SYSTEMNUMBER,E48,E62),LSOFFTP(DATAINPUTncm!F25,P23,DATAINPUTncm!A86,DATAINPUTncm!F33,DATAINPUTncm!F58,DATAINPUTncm!F87,DATAINPUTncm!F86,B58,I62,P74,P82,B78,I82,P62,SYSTEMNUMBER,UNIT,E48,E62))</f>
        <v>1.9871272055686584E-6</v>
      </c>
      <c r="J95" s="15" t="s">
        <v>93</v>
      </c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31"/>
    </row>
    <row r="96" spans="1:25" ht="13.5">
      <c r="A96" s="217" t="s">
        <v>312</v>
      </c>
      <c r="B96" s="207">
        <f>IF(SYSTEMNUMBER&lt;9,B28-(B45*P87/I49*(1-1/EXP(I49))),B92*B28-B45*P87/I49*(1-1/EXP(I49)))</f>
        <v>0.8528306538443795</v>
      </c>
      <c r="C96" s="15" t="s">
        <v>93</v>
      </c>
      <c r="D96" s="15"/>
      <c r="E96" s="15"/>
      <c r="F96" s="15"/>
      <c r="G96" s="15"/>
      <c r="H96" s="11" t="s">
        <v>313</v>
      </c>
      <c r="I96" s="207">
        <f>IF(SelectScenario!G58="NO", LSOFF(B59,I63,P75,P83,B79,I83,SYSTEMNUMBER,E49,E63),LSOFFTP(DATAINPUTncm!M25,P24,DATAINPUTncm!H86,DATAINPUTncm!M33,DATAINPUTncm!M58,DATAINPUTncm!M87,DATAINPUTncm!M86,B59,I63,P75,P83,B79,I83,P63,SYSTEMNUMBER,UNIT,E49,E63))</f>
        <v>4.0383109766271684E-5</v>
      </c>
      <c r="J96" s="15" t="s">
        <v>93</v>
      </c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31"/>
    </row>
    <row r="97" spans="1:21">
      <c r="A97" s="158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31"/>
    </row>
    <row r="98" spans="1:21">
      <c r="A98" s="158" t="s">
        <v>201</v>
      </c>
      <c r="B98" s="15"/>
      <c r="C98" s="15"/>
      <c r="D98" s="15" t="s">
        <v>302</v>
      </c>
      <c r="E98" s="15"/>
      <c r="F98" s="15"/>
      <c r="G98" s="15"/>
      <c r="H98" s="15" t="s">
        <v>202</v>
      </c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31"/>
    </row>
    <row r="99" spans="1:21" ht="13.5">
      <c r="A99" s="217" t="s">
        <v>232</v>
      </c>
      <c r="B99" s="208">
        <f>LION(I44,SYSTEMNUMBER,UNIT,P34)</f>
        <v>1.5773424227346489</v>
      </c>
      <c r="C99" s="15" t="s">
        <v>93</v>
      </c>
      <c r="D99" s="11" t="s">
        <v>303</v>
      </c>
      <c r="E99" s="208">
        <f>IF(P37&lt;=IF(UNIT="SI-Unit",-15,5),I45*(IF(UNIT="SI-Unit",21.1,70)-P33),0.5*(I45*(IF(UNIT="SI-Unit",21.1,70)-P33)+I44*(IF(UNIT="SI-Unit",21.1,70)-P34)))</f>
        <v>0.67947058210107947</v>
      </c>
      <c r="F99" s="15" t="s">
        <v>93</v>
      </c>
      <c r="G99" s="15"/>
      <c r="H99" s="11" t="s">
        <v>231</v>
      </c>
      <c r="I99" s="250">
        <f>IF(SelectScenario!G58="NO",LIOFF(I58,I62,P74,P82,B78,I82,SYSTEMNUMBER,UNIT,P34,E48,E62),LIOFFTP(DATAINPUTncm!F25,AFUEAncm!P23,DATAINPUTncm!A86,DATAINPUTncm!F33,DATAINPUTncm!F58,DATAINPUTncm!F87,DATAINPUTncm!F86,AFUEAncm!I58,AFUEAncm!I62,AFUEAncm!P74,AFUEAncm!P82,AFUEAncm!B78,AFUEAncm!I82,AFUEAncm!P62,SYSTEMNUMBER,UNIT,P34,E48,E62))</f>
        <v>0.18941443836053359</v>
      </c>
      <c r="J99" s="15" t="s">
        <v>93</v>
      </c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31"/>
    </row>
    <row r="100" spans="1:21" ht="13.5">
      <c r="A100" s="217" t="s">
        <v>314</v>
      </c>
      <c r="B100" s="208">
        <f>LION(I45,SYSTEMNUMBER,UNIT,P33)</f>
        <v>0.67947058210107947</v>
      </c>
      <c r="C100" s="15" t="s">
        <v>93</v>
      </c>
      <c r="D100" s="11"/>
      <c r="E100" s="150"/>
      <c r="F100" s="15"/>
      <c r="G100" s="15"/>
      <c r="H100" s="11" t="s">
        <v>315</v>
      </c>
      <c r="I100" s="250">
        <f>IF(SelectScenario!G58="NO",LIOFF(I59,I63,P75,P83,B79,I83,SYSTEMNUMBER,UNIT,P33,E49,E63),LIOFFTP(DATAINPUTncm!M25,AFUEAncm!P24,DATAINPUTncm!H86,DATAINPUTncm!M33,DATAINPUTncm!M58,DATAINPUTncm!M87,DATAINPUTncm!M86,AFUEAncm!I59,AFUEAncm!I63,AFUEAncm!P75,AFUEAncm!P83,AFUEAncm!B79,AFUEAncm!I83,AFUEAncm!P63,SYSTEMNUMBER,UNIT,P33,E49,E63))</f>
        <v>0.31708774735305428</v>
      </c>
      <c r="J100" s="15" t="s">
        <v>93</v>
      </c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31"/>
    </row>
    <row r="101" spans="1:21">
      <c r="A101" s="158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31"/>
    </row>
    <row r="102" spans="1:21">
      <c r="A102" s="158" t="s">
        <v>203</v>
      </c>
      <c r="B102" s="15"/>
      <c r="C102" s="15"/>
      <c r="D102" s="15"/>
      <c r="E102" s="15"/>
      <c r="F102" s="15"/>
      <c r="G102" s="15"/>
      <c r="H102" s="15" t="s">
        <v>205</v>
      </c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31"/>
    </row>
    <row r="103" spans="1:21" ht="13.5">
      <c r="A103" s="217" t="s">
        <v>204</v>
      </c>
      <c r="B103" s="186">
        <f>IF(P37&lt;=IF(UNIT="SI-Unit",-15,5),B54,IF(SelectScenario!G6="Step_Modulating",B37*P40+I37*B54,B37*I54+I37*B54))</f>
        <v>88.60057063359173</v>
      </c>
      <c r="C103" s="15" t="s">
        <v>93</v>
      </c>
      <c r="D103" s="15"/>
      <c r="E103" s="15"/>
      <c r="F103" s="15"/>
      <c r="G103" s="15"/>
      <c r="H103" s="11" t="s">
        <v>206</v>
      </c>
      <c r="I103" s="186">
        <f>IF(UNIT="SI-Unit",2889,5200)*B103*I40/(IF(UNIT="SI-Unit",2889,5200)*I40+2.5/(IF(UNIT="SI-Unit",1.8,1))*(1+I32)*4600*B103*DATAINPUTncm!F79/DATAINPUTncm!F25)</f>
        <v>88.600570633591744</v>
      </c>
      <c r="J103" s="15" t="s">
        <v>93</v>
      </c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223"/>
    </row>
    <row r="104" spans="1:21">
      <c r="A104" s="158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31"/>
    </row>
    <row r="105" spans="1:21" ht="12.75" thickBot="1">
      <c r="A105" s="161"/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4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138959-87DF-46A9-A44B-93B6EB8465F1}">
          <x14:formula1>
            <xm:f>SelectScenario!$AA$32:$AA$33</xm:f>
          </x14:formula1>
          <xm:sqref>R70:R72 B67 P65:P67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689A1-FE97-4A7B-8EC9-1F78B7372CCC}">
  <sheetPr codeName="Sheet12">
    <tabColor theme="9" tint="0.39997558519241921"/>
  </sheetPr>
  <dimension ref="A1:AH170"/>
  <sheetViews>
    <sheetView topLeftCell="A22" zoomScale="90" zoomScaleNormal="90" workbookViewId="0">
      <selection activeCell="T83" sqref="T83"/>
    </sheetView>
  </sheetViews>
  <sheetFormatPr defaultRowHeight="15"/>
  <cols>
    <col min="1" max="1" width="10.85546875" customWidth="1"/>
    <col min="7" max="7" width="11.42578125" customWidth="1"/>
    <col min="14" max="14" width="10.7109375" customWidth="1"/>
    <col min="24" max="24" width="13.28515625" customWidth="1"/>
  </cols>
  <sheetData>
    <row r="1" spans="1:34">
      <c r="A1" s="211"/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3"/>
    </row>
    <row r="2" spans="1:34">
      <c r="A2" s="65"/>
      <c r="B2" s="2"/>
      <c r="C2" s="2"/>
      <c r="D2" s="2"/>
      <c r="E2" s="2"/>
      <c r="F2" s="4" t="str">
        <f>SelectScenario!F7</f>
        <v xml:space="preserve">Selected Unit: </v>
      </c>
      <c r="G2" s="67" t="str">
        <f>SelectScenario!G7</f>
        <v>Condensing, Step-ModulatingNG Furnace</v>
      </c>
      <c r="H2" s="2"/>
      <c r="I2" s="2"/>
      <c r="J2" s="2"/>
      <c r="K2" s="2"/>
      <c r="L2" s="67" t="s">
        <v>55</v>
      </c>
      <c r="M2" s="67"/>
      <c r="N2" s="79"/>
    </row>
    <row r="3" spans="1:34">
      <c r="A3" s="65"/>
      <c r="B3" s="2"/>
      <c r="C3" s="2"/>
      <c r="D3" s="2"/>
      <c r="E3" s="2"/>
      <c r="F3" s="11" t="str">
        <f>SelectScenario!F5</f>
        <v>Select NG Furnace System Scenario</v>
      </c>
      <c r="G3" s="69">
        <f>SelectScenario!G5</f>
        <v>3</v>
      </c>
      <c r="H3" s="67"/>
      <c r="I3" s="67"/>
      <c r="J3" s="67"/>
      <c r="K3" s="67"/>
      <c r="L3" s="11" t="str">
        <f>SelectScenario!F58</f>
        <v>Post Purge</v>
      </c>
      <c r="M3" s="69" t="str">
        <f>SelectScenario!G58</f>
        <v>NO</v>
      </c>
      <c r="N3" s="68"/>
      <c r="T3" s="57"/>
      <c r="U3" s="1"/>
      <c r="AH3" s="18"/>
    </row>
    <row r="4" spans="1:34">
      <c r="A4" s="65"/>
      <c r="B4" s="2"/>
      <c r="C4" s="2"/>
      <c r="D4" s="2"/>
      <c r="E4" s="2"/>
      <c r="F4" s="11" t="str">
        <f>SelectScenario!F10</f>
        <v>Indoor Combustion Air</v>
      </c>
      <c r="G4" s="69" t="str">
        <f>SelectScenario!G10</f>
        <v>YES</v>
      </c>
      <c r="H4" s="69"/>
      <c r="I4" s="69"/>
      <c r="J4" s="69"/>
      <c r="K4" s="69"/>
      <c r="L4" s="11" t="str">
        <f>SelectScenario!F59</f>
        <v>Pilot Light</v>
      </c>
      <c r="M4" s="69" t="str">
        <f>SelectScenario!G59</f>
        <v>NO</v>
      </c>
      <c r="N4" s="70"/>
      <c r="T4" s="57"/>
      <c r="U4" s="1"/>
      <c r="AH4" s="18"/>
    </row>
    <row r="5" spans="1:34">
      <c r="A5" s="65"/>
      <c r="B5" s="2"/>
      <c r="C5" s="2"/>
      <c r="D5" s="2"/>
      <c r="E5" s="2"/>
      <c r="F5" s="11" t="str">
        <f>SelectScenario!F11</f>
        <v>Outdoor, Direct Vent or isolated Combustion System</v>
      </c>
      <c r="G5" s="69" t="str">
        <f>SelectScenario!G11</f>
        <v>NO</v>
      </c>
      <c r="H5" s="69"/>
      <c r="I5" s="69"/>
      <c r="J5" s="69"/>
      <c r="K5" s="69"/>
      <c r="L5" s="11" t="str">
        <f>SelectScenario!F60</f>
        <v>Unit</v>
      </c>
      <c r="M5" s="138" t="str">
        <f>SelectScenario!G60</f>
        <v>British-Unit</v>
      </c>
      <c r="N5" s="70"/>
      <c r="R5" s="5"/>
      <c r="T5" s="58"/>
      <c r="U5" s="59"/>
      <c r="V5" s="5"/>
      <c r="W5" s="5"/>
      <c r="X5" s="5"/>
      <c r="AH5" s="18"/>
    </row>
    <row r="6" spans="1:34">
      <c r="A6" s="65"/>
      <c r="B6" s="2"/>
      <c r="C6" s="2"/>
      <c r="D6" s="2"/>
      <c r="E6" s="2"/>
      <c r="F6" s="11" t="str">
        <f>SelectScenario!F12</f>
        <v>Direct Exhaust</v>
      </c>
      <c r="G6" s="69" t="str">
        <f>SelectScenario!G12</f>
        <v>NO</v>
      </c>
      <c r="H6" s="69"/>
      <c r="I6" s="69"/>
      <c r="J6" s="69"/>
      <c r="K6" s="69"/>
      <c r="L6" s="69"/>
      <c r="M6" s="69"/>
      <c r="N6" s="70"/>
      <c r="T6" s="57"/>
      <c r="U6" s="1"/>
      <c r="AH6" s="18"/>
    </row>
    <row r="7" spans="1:34">
      <c r="A7" s="65"/>
      <c r="B7" s="2"/>
      <c r="C7" s="2"/>
      <c r="D7" s="2"/>
      <c r="E7" s="2"/>
      <c r="F7" s="11" t="str">
        <f>SelectScenario!F13</f>
        <v>Draft Hood or Draft Diverter</v>
      </c>
      <c r="G7" s="69" t="str">
        <f>SelectScenario!G13</f>
        <v>YES</v>
      </c>
      <c r="H7" s="69"/>
      <c r="I7" s="69"/>
      <c r="J7" s="69"/>
      <c r="K7" s="69"/>
      <c r="L7" s="69"/>
      <c r="M7" s="69"/>
      <c r="N7" s="70"/>
      <c r="T7" s="57"/>
      <c r="U7" s="1"/>
      <c r="AH7" s="18"/>
    </row>
    <row r="8" spans="1:34">
      <c r="A8" s="65"/>
      <c r="B8" s="2"/>
      <c r="C8" s="2"/>
      <c r="D8" s="2"/>
      <c r="E8" s="2"/>
      <c r="F8" s="11" t="str">
        <f>SelectScenario!F14</f>
        <v>Barometric Draft</v>
      </c>
      <c r="G8" s="69" t="str">
        <f>SelectScenario!G14</f>
        <v>NO</v>
      </c>
      <c r="H8" s="69"/>
      <c r="I8" s="69"/>
      <c r="J8" s="69"/>
      <c r="K8" s="69"/>
      <c r="L8" s="69"/>
      <c r="M8" s="69"/>
      <c r="N8" s="70"/>
      <c r="T8" s="57"/>
      <c r="U8" s="1"/>
      <c r="AH8" s="18"/>
    </row>
    <row r="9" spans="1:34">
      <c r="A9" s="65"/>
      <c r="B9" s="2"/>
      <c r="C9" s="2"/>
      <c r="D9" s="2"/>
      <c r="E9" s="2"/>
      <c r="F9" s="11" t="str">
        <f>SelectScenario!F15</f>
        <v>Electrical/Mechanical Stack Damper</v>
      </c>
      <c r="G9" s="69" t="str">
        <f>SelectScenario!G15</f>
        <v>NO</v>
      </c>
      <c r="H9" s="69"/>
      <c r="I9" s="69"/>
      <c r="J9" s="69"/>
      <c r="K9" s="69"/>
      <c r="L9" s="69"/>
      <c r="M9" s="69"/>
      <c r="N9" s="70"/>
      <c r="T9" s="57"/>
      <c r="U9" s="1"/>
      <c r="AH9" s="18"/>
    </row>
    <row r="10" spans="1:34">
      <c r="A10" s="65"/>
      <c r="B10" s="2"/>
      <c r="C10" s="2"/>
      <c r="D10" s="2"/>
      <c r="E10" s="2"/>
      <c r="F10" s="11" t="str">
        <f>SelectScenario!F16</f>
        <v>Atomspheric Burner</v>
      </c>
      <c r="G10" s="69" t="str">
        <f>SelectScenario!G16</f>
        <v>NO</v>
      </c>
      <c r="H10" s="69"/>
      <c r="I10" s="69"/>
      <c r="J10" s="69"/>
      <c r="K10" s="69"/>
      <c r="L10" s="69"/>
      <c r="M10" s="69"/>
      <c r="N10" s="70"/>
      <c r="T10" s="57"/>
      <c r="U10" s="1"/>
      <c r="AH10" s="18"/>
    </row>
    <row r="11" spans="1:34">
      <c r="A11" s="65"/>
      <c r="B11" s="2"/>
      <c r="C11" s="2"/>
      <c r="D11" s="2"/>
      <c r="E11" s="2"/>
      <c r="F11" s="11" t="str">
        <f>SelectScenario!F17</f>
        <v>Power Burner</v>
      </c>
      <c r="G11" s="69" t="str">
        <f>SelectScenario!G17</f>
        <v>YES</v>
      </c>
      <c r="H11" s="69"/>
      <c r="I11" s="69"/>
      <c r="J11" s="69"/>
      <c r="K11" s="69"/>
      <c r="L11" s="69"/>
      <c r="M11" s="69"/>
      <c r="N11" s="70"/>
      <c r="T11" s="57"/>
      <c r="AH11" s="18"/>
    </row>
    <row r="12" spans="1:34">
      <c r="A12" s="65"/>
      <c r="B12" s="2"/>
      <c r="C12" s="2"/>
      <c r="D12" s="2"/>
      <c r="E12" s="2"/>
      <c r="F12" s="11" t="str">
        <f>SelectScenario!F18</f>
        <v>Burner Inlet Damper or Flue Damper</v>
      </c>
      <c r="G12" s="69" t="str">
        <f>SelectScenario!G18</f>
        <v>NO</v>
      </c>
      <c r="H12" s="69"/>
      <c r="I12" s="69"/>
      <c r="J12" s="69"/>
      <c r="K12" s="69"/>
      <c r="L12" s="69"/>
      <c r="M12" s="69"/>
      <c r="N12" s="70"/>
      <c r="AH12" s="18"/>
    </row>
    <row r="13" spans="1:34" ht="15.75" thickBot="1">
      <c r="A13" s="71"/>
      <c r="B13" s="72"/>
      <c r="C13" s="73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4"/>
      <c r="AH13" s="18"/>
    </row>
    <row r="14" spans="1:34" ht="15.75" thickBot="1">
      <c r="A14" s="2"/>
      <c r="B14" s="2"/>
      <c r="C14" s="8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Q14" s="55"/>
      <c r="AH14" s="18"/>
    </row>
    <row r="15" spans="1:34" ht="14.25" customHeight="1" thickBot="1">
      <c r="A15" s="90" t="s">
        <v>47</v>
      </c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2"/>
      <c r="Q15" s="55"/>
      <c r="R15" s="17"/>
      <c r="S15" s="17"/>
      <c r="T15" s="17"/>
      <c r="AH15" s="18"/>
    </row>
    <row r="16" spans="1:34" ht="15.75">
      <c r="A16" s="62"/>
      <c r="B16" s="63"/>
      <c r="C16" s="75"/>
      <c r="D16" s="63"/>
      <c r="E16" s="63"/>
      <c r="F16" s="76" t="s">
        <v>51</v>
      </c>
      <c r="G16" s="63"/>
      <c r="H16" s="62"/>
      <c r="I16" s="63"/>
      <c r="J16" s="63"/>
      <c r="K16" s="63"/>
      <c r="L16" s="63"/>
      <c r="M16" s="89" t="s">
        <v>50</v>
      </c>
      <c r="N16" s="64"/>
      <c r="Q16" s="6"/>
      <c r="AH16" s="18"/>
    </row>
    <row r="17" spans="1:34">
      <c r="A17" s="65"/>
      <c r="B17" s="2"/>
      <c r="C17" s="8"/>
      <c r="D17" s="2"/>
      <c r="E17" s="2"/>
      <c r="F17" s="88" t="str">
        <f>IF(SelectScenario!$G$6="Non-Modulating","(The maximum parameters are required@"&amp;SelectScenario!$G$6&amp;")","The maximum parameters are required@"&amp;SelectScenario!$G$6&amp;")")</f>
        <v>The maximum parameters are required@Step-Modulating)</v>
      </c>
      <c r="G17" s="2"/>
      <c r="H17" s="65"/>
      <c r="I17" s="2"/>
      <c r="J17" s="2"/>
      <c r="K17" s="2"/>
      <c r="L17" s="2"/>
      <c r="M17" s="84" t="str">
        <f>IF(SelectScenario!$G$6="Non-Modulating","(The redcued parameters are not required@"&amp;SelectScenario!$G$6&amp;")","(The redcued parameters are required@"&amp;SelectScenario!$G$6&amp;")")</f>
        <v>(The redcued parameters are required@Step-Modulating)</v>
      </c>
      <c r="N17" s="79"/>
      <c r="Q17" s="6"/>
      <c r="R17" s="17"/>
      <c r="S17" s="17"/>
      <c r="T17" s="17"/>
      <c r="AH17" s="18"/>
    </row>
    <row r="18" spans="1:34" ht="15.75">
      <c r="A18" s="65"/>
      <c r="B18" s="2"/>
      <c r="C18" s="8"/>
      <c r="D18" s="2"/>
      <c r="E18" s="2"/>
      <c r="F18" s="87"/>
      <c r="G18" s="2"/>
      <c r="H18" s="65"/>
      <c r="I18" s="2"/>
      <c r="J18" s="2"/>
      <c r="K18" s="2"/>
      <c r="L18" s="2"/>
      <c r="M18" s="84"/>
      <c r="N18" s="79"/>
      <c r="T18" s="6"/>
      <c r="AH18" s="18"/>
    </row>
    <row r="19" spans="1:34">
      <c r="A19" s="65"/>
      <c r="B19" s="2"/>
      <c r="C19" s="8"/>
      <c r="D19" s="2"/>
      <c r="E19" s="2"/>
      <c r="F19" s="77" t="s">
        <v>39</v>
      </c>
      <c r="G19" s="2"/>
      <c r="H19" s="65"/>
      <c r="I19" s="2"/>
      <c r="J19" s="2"/>
      <c r="L19" s="2"/>
      <c r="M19" s="78" t="s">
        <v>40</v>
      </c>
      <c r="N19" s="85"/>
      <c r="O19" s="1"/>
      <c r="T19" s="6"/>
      <c r="AH19" s="18"/>
    </row>
    <row r="20" spans="1:34">
      <c r="A20" s="65"/>
      <c r="B20" s="2"/>
      <c r="C20" s="8"/>
      <c r="D20" s="2"/>
      <c r="E20" s="11" t="s">
        <v>16</v>
      </c>
      <c r="F20" s="14">
        <f>0.643</f>
        <v>0.64300000000000002</v>
      </c>
      <c r="G20" s="15"/>
      <c r="H20" s="65"/>
      <c r="I20" s="2"/>
      <c r="J20" s="2"/>
      <c r="K20" s="2"/>
      <c r="L20" s="80" t="s">
        <v>16</v>
      </c>
      <c r="M20" s="14">
        <f>0.481</f>
        <v>0.48099999999999998</v>
      </c>
      <c r="N20" s="70"/>
      <c r="O20" s="1"/>
      <c r="AH20" s="18"/>
    </row>
    <row r="21" spans="1:34">
      <c r="A21" s="65"/>
      <c r="B21" s="2"/>
      <c r="C21" s="8"/>
      <c r="D21" s="2"/>
      <c r="E21" s="11" t="s">
        <v>15</v>
      </c>
      <c r="F21" s="61">
        <f>F20</f>
        <v>0.64300000000000002</v>
      </c>
      <c r="G21" s="15" t="str">
        <f>IF(UNIT="SI-Unit","Liter/s","CFM")</f>
        <v>CFM</v>
      </c>
      <c r="H21" s="65"/>
      <c r="I21" s="2"/>
      <c r="J21" s="2"/>
      <c r="K21" s="2"/>
      <c r="L21" s="80" t="s">
        <v>15</v>
      </c>
      <c r="M21" s="61">
        <f>IF(SelectScenario!$G$6="Non-Modulating",0,M20)</f>
        <v>0.48099999999999998</v>
      </c>
      <c r="N21" s="131" t="str">
        <f>IF(UNIT="SI-Unit","Liter/s","CFM")</f>
        <v>CFM</v>
      </c>
      <c r="O21" s="1"/>
      <c r="AH21" s="18"/>
    </row>
    <row r="22" spans="1:34">
      <c r="A22" s="65"/>
      <c r="B22" s="2"/>
      <c r="C22" s="8"/>
      <c r="D22" s="2"/>
      <c r="E22" s="2"/>
      <c r="F22" s="81"/>
      <c r="G22" s="15"/>
      <c r="H22" s="65"/>
      <c r="I22" s="2"/>
      <c r="J22" s="2"/>
      <c r="K22" s="2"/>
      <c r="L22" s="82"/>
      <c r="M22" s="2"/>
      <c r="N22" s="131"/>
      <c r="O22" s="1"/>
      <c r="AH22" s="18"/>
    </row>
    <row r="23" spans="1:34">
      <c r="A23" s="65"/>
      <c r="B23" s="2"/>
      <c r="C23" s="8"/>
      <c r="D23" s="2"/>
      <c r="E23" s="2"/>
      <c r="F23" s="77" t="s">
        <v>34</v>
      </c>
      <c r="G23" s="15"/>
      <c r="H23" s="65"/>
      <c r="I23" s="2"/>
      <c r="J23" s="2"/>
      <c r="K23" s="2"/>
      <c r="L23" s="82"/>
      <c r="M23" s="78" t="s">
        <v>27</v>
      </c>
      <c r="N23" s="132"/>
      <c r="O23" s="1"/>
      <c r="AH23" s="18"/>
    </row>
    <row r="24" spans="1:34">
      <c r="A24" s="65"/>
      <c r="B24" s="2"/>
      <c r="C24" s="82"/>
      <c r="D24" s="82"/>
      <c r="E24" s="11" t="s">
        <v>16</v>
      </c>
      <c r="F24" s="14">
        <f>39559</f>
        <v>39559</v>
      </c>
      <c r="G24" s="15"/>
      <c r="H24" s="134"/>
      <c r="I24" s="82"/>
      <c r="J24" s="82"/>
      <c r="K24" s="2"/>
      <c r="L24" s="80" t="s">
        <v>16</v>
      </c>
      <c r="M24" s="14">
        <f>29501</f>
        <v>29501</v>
      </c>
      <c r="N24" s="70"/>
      <c r="O24" s="59"/>
      <c r="P24" s="5"/>
      <c r="Q24" s="5"/>
      <c r="R24" s="5"/>
      <c r="S24" s="5"/>
      <c r="AH24" s="18"/>
    </row>
    <row r="25" spans="1:34">
      <c r="A25" s="65"/>
      <c r="B25" s="2"/>
      <c r="C25" s="82"/>
      <c r="D25" s="82"/>
      <c r="E25" s="11" t="s">
        <v>15</v>
      </c>
      <c r="F25" s="61">
        <f>F24</f>
        <v>39559</v>
      </c>
      <c r="G25" s="15" t="str">
        <f>IF(UNIT="SI-Unit","kW","BTU/HR")</f>
        <v>BTU/HR</v>
      </c>
      <c r="H25" s="134"/>
      <c r="I25" s="82"/>
      <c r="J25" s="82"/>
      <c r="K25" s="2"/>
      <c r="L25" s="80" t="s">
        <v>15</v>
      </c>
      <c r="M25" s="61">
        <f>IF(SelectScenario!$G$6="Non-Modulating",0,M24)</f>
        <v>29501</v>
      </c>
      <c r="N25" s="131" t="str">
        <f>IF(UNIT="SI-Unit","kW","BTU/HR")</f>
        <v>BTU/HR</v>
      </c>
      <c r="O25" s="59"/>
      <c r="P25" s="5"/>
      <c r="Q25" s="5"/>
      <c r="R25" s="5"/>
      <c r="S25" s="5"/>
      <c r="AH25" s="18"/>
    </row>
    <row r="26" spans="1:34">
      <c r="A26" s="65"/>
      <c r="B26" s="2"/>
      <c r="C26" s="82"/>
      <c r="D26" s="82"/>
      <c r="E26" s="11"/>
      <c r="F26" s="60"/>
      <c r="G26" s="15"/>
      <c r="H26" s="134"/>
      <c r="I26" s="82"/>
      <c r="J26" s="82"/>
      <c r="K26" s="2"/>
      <c r="L26" s="82"/>
      <c r="M26" s="82"/>
      <c r="N26" s="133"/>
      <c r="O26" s="59"/>
      <c r="P26" s="5"/>
      <c r="Q26" s="5"/>
      <c r="R26" s="5"/>
      <c r="S26" s="5"/>
      <c r="AH26" s="18"/>
    </row>
    <row r="27" spans="1:34">
      <c r="A27" s="65"/>
      <c r="B27" s="2"/>
      <c r="C27" s="2"/>
      <c r="D27" s="2"/>
      <c r="E27" s="2"/>
      <c r="F27" s="77" t="s">
        <v>41</v>
      </c>
      <c r="G27" s="15"/>
      <c r="H27" s="65"/>
      <c r="I27" s="2"/>
      <c r="J27" s="2"/>
      <c r="K27" s="2"/>
      <c r="L27" s="82"/>
      <c r="M27" s="78" t="s">
        <v>38</v>
      </c>
      <c r="N27" s="132"/>
      <c r="O27" s="1"/>
      <c r="AH27" s="18"/>
    </row>
    <row r="28" spans="1:34">
      <c r="A28" s="65"/>
      <c r="B28" s="2"/>
      <c r="C28" s="2"/>
      <c r="D28" s="2"/>
      <c r="E28" s="11" t="s">
        <v>16</v>
      </c>
      <c r="F28" s="14">
        <v>1031.02</v>
      </c>
      <c r="G28" s="15"/>
      <c r="H28" s="65"/>
      <c r="I28" s="2"/>
      <c r="J28" s="2"/>
      <c r="K28" s="2"/>
      <c r="L28" s="80" t="s">
        <v>16</v>
      </c>
      <c r="M28" s="14">
        <v>554.77</v>
      </c>
      <c r="N28" s="70"/>
      <c r="O28" s="1"/>
      <c r="AH28" s="18"/>
    </row>
    <row r="29" spans="1:34">
      <c r="A29" s="65"/>
      <c r="B29" s="2"/>
      <c r="C29" s="2"/>
      <c r="D29" s="2"/>
      <c r="E29" s="11" t="s">
        <v>15</v>
      </c>
      <c r="F29" s="61">
        <f>F28</f>
        <v>1031.02</v>
      </c>
      <c r="G29" s="15" t="str">
        <f>IF(UNIT="SI-Unit","kW","BTU/HR")</f>
        <v>BTU/HR</v>
      </c>
      <c r="H29" s="65"/>
      <c r="I29" s="2"/>
      <c r="J29" s="2"/>
      <c r="K29" s="2"/>
      <c r="L29" s="80" t="s">
        <v>15</v>
      </c>
      <c r="M29" s="61">
        <f>IF(SelectScenario!$G$6="Non-Modulating",0,M28)</f>
        <v>554.77</v>
      </c>
      <c r="N29" s="131" t="str">
        <f>IF(UNIT="SI-Unit","kW","BTU/HR")</f>
        <v>BTU/HR</v>
      </c>
      <c r="O29" s="1"/>
      <c r="AH29" s="18"/>
    </row>
    <row r="30" spans="1:34">
      <c r="A30" s="65"/>
      <c r="B30" s="2"/>
      <c r="C30" s="2"/>
      <c r="D30" s="2"/>
      <c r="E30" s="2"/>
      <c r="F30" s="81"/>
      <c r="G30" s="15"/>
      <c r="H30" s="65"/>
      <c r="I30" s="2"/>
      <c r="J30" s="2"/>
      <c r="K30" s="2"/>
      <c r="L30" s="2"/>
      <c r="M30" s="2"/>
      <c r="N30" s="131"/>
      <c r="O30" s="1"/>
      <c r="AH30" s="18"/>
    </row>
    <row r="31" spans="1:34">
      <c r="A31" s="65"/>
      <c r="B31" s="2"/>
      <c r="C31" s="2"/>
      <c r="D31" s="2"/>
      <c r="E31" s="2"/>
      <c r="F31" s="77" t="s">
        <v>42</v>
      </c>
      <c r="G31" s="15"/>
      <c r="H31" s="65"/>
      <c r="I31" s="2"/>
      <c r="J31" s="2"/>
      <c r="K31" s="2"/>
      <c r="L31" s="2"/>
      <c r="M31" s="78" t="s">
        <v>43</v>
      </c>
      <c r="N31" s="132"/>
      <c r="O31" s="1"/>
      <c r="AH31" s="18"/>
    </row>
    <row r="32" spans="1:34">
      <c r="A32" s="65"/>
      <c r="B32" s="2"/>
      <c r="C32" s="2"/>
      <c r="D32" s="2"/>
      <c r="E32" s="11" t="s">
        <v>16</v>
      </c>
      <c r="F32" s="14">
        <v>99.06</v>
      </c>
      <c r="G32" s="15"/>
      <c r="H32" s="65"/>
      <c r="I32" s="2"/>
      <c r="J32" s="2"/>
      <c r="K32" s="2"/>
      <c r="L32" s="80" t="s">
        <v>16</v>
      </c>
      <c r="M32" s="14">
        <v>91.74</v>
      </c>
      <c r="N32" s="70"/>
      <c r="O32" s="1"/>
      <c r="AH32" s="18"/>
    </row>
    <row r="33" spans="1:34">
      <c r="A33" s="65"/>
      <c r="B33" s="2"/>
      <c r="C33" s="2"/>
      <c r="D33" s="2"/>
      <c r="E33" s="11" t="s">
        <v>15</v>
      </c>
      <c r="F33" s="61">
        <f>F32</f>
        <v>99.06</v>
      </c>
      <c r="G33" s="15" t="str">
        <f>IF(UNIT="SI-Unit","C-Degree","F-Degree")</f>
        <v>F-Degree</v>
      </c>
      <c r="H33" s="65"/>
      <c r="I33" s="2"/>
      <c r="J33" s="2"/>
      <c r="K33" s="2"/>
      <c r="L33" s="80" t="s">
        <v>15</v>
      </c>
      <c r="M33" s="61">
        <f>IF(SelectScenario!$G$6="Non-Modulating",0,M32)</f>
        <v>91.74</v>
      </c>
      <c r="N33" s="131" t="str">
        <f>IF(UNIT="SI-Unit","C-Degree","F-Degree")</f>
        <v>F-Degree</v>
      </c>
    </row>
    <row r="34" spans="1:34">
      <c r="A34" s="65"/>
      <c r="B34" s="2"/>
      <c r="C34" s="2"/>
      <c r="D34" s="2"/>
      <c r="E34" s="11"/>
      <c r="F34" s="60"/>
      <c r="G34" s="15"/>
      <c r="H34" s="65"/>
      <c r="I34" s="2"/>
      <c r="J34" s="2"/>
      <c r="K34" s="2"/>
      <c r="L34" s="2"/>
      <c r="M34" s="2"/>
      <c r="N34" s="131"/>
    </row>
    <row r="35" spans="1:34">
      <c r="A35" s="65"/>
      <c r="B35" s="2"/>
      <c r="C35" s="2"/>
      <c r="D35" s="2"/>
      <c r="E35" s="2"/>
      <c r="F35" s="77" t="s">
        <v>400</v>
      </c>
      <c r="G35" s="15"/>
      <c r="H35" s="65"/>
      <c r="I35" s="2"/>
      <c r="J35" s="2"/>
      <c r="K35" s="2"/>
      <c r="L35" s="2"/>
      <c r="M35" s="78" t="s">
        <v>401</v>
      </c>
      <c r="N35" s="131"/>
    </row>
    <row r="36" spans="1:34">
      <c r="A36" s="65"/>
      <c r="B36" s="2"/>
      <c r="C36" s="2"/>
      <c r="D36" s="2"/>
      <c r="E36" s="11" t="s">
        <v>16</v>
      </c>
      <c r="F36" s="14">
        <v>92.62</v>
      </c>
      <c r="G36" s="15"/>
      <c r="H36" s="65"/>
      <c r="I36" s="2"/>
      <c r="J36" s="2"/>
      <c r="K36" s="2"/>
      <c r="L36" s="80" t="s">
        <v>16</v>
      </c>
      <c r="M36" s="14">
        <v>86.76</v>
      </c>
      <c r="N36" s="131"/>
    </row>
    <row r="37" spans="1:34">
      <c r="A37" s="65"/>
      <c r="B37" s="2"/>
      <c r="C37" s="2"/>
      <c r="D37" s="2"/>
      <c r="E37" s="11" t="s">
        <v>15</v>
      </c>
      <c r="F37" s="61">
        <f>F36</f>
        <v>92.62</v>
      </c>
      <c r="G37" s="15" t="str">
        <f>IF(UNIT="SI-Unit","C-Degree","F-Degree")</f>
        <v>F-Degree</v>
      </c>
      <c r="H37" s="65"/>
      <c r="I37" s="2"/>
      <c r="J37" s="2"/>
      <c r="K37" s="2"/>
      <c r="L37" s="80" t="s">
        <v>15</v>
      </c>
      <c r="M37" s="61">
        <f>IF(SelectScenario!$G$6="Non-Modulating",0,M36)</f>
        <v>86.76</v>
      </c>
      <c r="N37" s="131" t="str">
        <f>IF(UNIT="SI-Unit","C-Degree","F-Degree")</f>
        <v>F-Degree</v>
      </c>
    </row>
    <row r="38" spans="1:34">
      <c r="A38" s="65"/>
      <c r="B38" s="2"/>
      <c r="C38" s="2"/>
      <c r="D38" s="2"/>
      <c r="E38" s="11"/>
      <c r="F38" s="60"/>
      <c r="G38" s="15"/>
      <c r="H38" s="65"/>
      <c r="I38" s="2"/>
      <c r="J38" s="2"/>
      <c r="K38" s="2"/>
      <c r="L38" s="2"/>
      <c r="M38" s="2"/>
      <c r="N38" s="131"/>
      <c r="P38" s="292"/>
      <c r="Q38" s="292"/>
      <c r="R38" s="292"/>
      <c r="S38" s="292"/>
      <c r="T38" s="292"/>
      <c r="U38" s="292"/>
      <c r="V38" s="292"/>
      <c r="W38" s="313"/>
      <c r="X38" s="313" t="s">
        <v>179</v>
      </c>
    </row>
    <row r="39" spans="1:34">
      <c r="A39" s="65"/>
      <c r="B39" s="2"/>
      <c r="C39" s="2"/>
      <c r="D39" s="2"/>
      <c r="E39" s="11"/>
      <c r="F39" s="77" t="s">
        <v>48</v>
      </c>
      <c r="G39" s="15"/>
      <c r="H39" s="65"/>
      <c r="I39" s="2"/>
      <c r="J39" s="2"/>
      <c r="K39" s="2"/>
      <c r="L39" s="2"/>
      <c r="M39" s="78" t="s">
        <v>44</v>
      </c>
      <c r="N39" s="132"/>
      <c r="P39" s="292"/>
      <c r="Q39" s="292"/>
      <c r="R39" s="292"/>
      <c r="S39" s="292"/>
      <c r="T39" s="292"/>
      <c r="U39" s="292"/>
      <c r="V39" s="292"/>
      <c r="W39" s="303" t="s">
        <v>145</v>
      </c>
      <c r="X39" s="292"/>
    </row>
    <row r="40" spans="1:34">
      <c r="A40" s="65"/>
      <c r="B40" s="2"/>
      <c r="C40" s="2"/>
      <c r="D40" s="2"/>
      <c r="E40" s="11" t="s">
        <v>16</v>
      </c>
      <c r="F40" s="14">
        <v>8</v>
      </c>
      <c r="G40" s="15"/>
      <c r="H40" s="65"/>
      <c r="I40" s="2"/>
      <c r="J40" s="2"/>
      <c r="K40" s="2"/>
      <c r="L40" s="80" t="s">
        <v>16</v>
      </c>
      <c r="M40" s="14">
        <v>6.8</v>
      </c>
      <c r="N40" s="70"/>
      <c r="P40" s="292"/>
      <c r="Q40" s="292"/>
      <c r="R40" s="292"/>
      <c r="S40" s="292"/>
      <c r="T40" s="292"/>
      <c r="U40" s="292"/>
      <c r="V40" s="292"/>
      <c r="W40" s="293" t="str">
        <f>IF(OR(SYSTEMNUMBER=5,SYSTEMNUMBER=6,SYSTEMNUMBER=8),"(The stack parameters are required for the system "&amp;SYSTEMNUMBER&amp;")","(The stack parameters are not required)")</f>
        <v>(The stack parameters are not required)</v>
      </c>
      <c r="X40" s="292"/>
    </row>
    <row r="41" spans="1:34">
      <c r="A41" s="65"/>
      <c r="B41" s="2"/>
      <c r="C41" s="2"/>
      <c r="D41" s="2"/>
      <c r="E41" s="11" t="s">
        <v>15</v>
      </c>
      <c r="F41" s="61">
        <f>F40</f>
        <v>8</v>
      </c>
      <c r="G41" s="15" t="s">
        <v>93</v>
      </c>
      <c r="H41" s="65"/>
      <c r="I41" s="2"/>
      <c r="J41" s="2"/>
      <c r="K41" s="2"/>
      <c r="L41" s="80" t="s">
        <v>15</v>
      </c>
      <c r="M41" s="61">
        <f>IF(SelectScenario!$G$6="Non-Modulating",0,M40)</f>
        <v>6.8</v>
      </c>
      <c r="N41" s="135" t="s">
        <v>93</v>
      </c>
      <c r="O41" s="1"/>
      <c r="P41" s="292"/>
      <c r="Q41" s="292"/>
      <c r="R41" s="292"/>
      <c r="S41" s="292"/>
      <c r="T41" s="292"/>
      <c r="U41" s="292"/>
      <c r="V41" s="292"/>
      <c r="W41" s="292"/>
      <c r="X41" s="292"/>
      <c r="AH41" s="18"/>
    </row>
    <row r="42" spans="1:34">
      <c r="A42" s="65"/>
      <c r="B42" s="2"/>
      <c r="C42" s="2"/>
      <c r="D42" s="2"/>
      <c r="E42" s="11"/>
      <c r="F42" s="60"/>
      <c r="G42" s="15"/>
      <c r="H42" s="65"/>
      <c r="I42" s="2"/>
      <c r="J42" s="2"/>
      <c r="K42" s="2"/>
      <c r="L42" s="80"/>
      <c r="M42" s="60"/>
      <c r="N42" s="135"/>
      <c r="O42" s="1"/>
      <c r="P42" s="292"/>
      <c r="Q42" s="299"/>
      <c r="R42" s="295" t="s">
        <v>192</v>
      </c>
      <c r="S42" s="292"/>
      <c r="T42" s="292"/>
      <c r="U42" s="292"/>
      <c r="V42" s="292"/>
      <c r="W42" s="295" t="s">
        <v>131</v>
      </c>
      <c r="X42" s="299"/>
      <c r="AH42" s="18"/>
    </row>
    <row r="43" spans="1:34">
      <c r="A43" s="65"/>
      <c r="B43" s="2"/>
      <c r="C43" s="2"/>
      <c r="D43" s="2"/>
      <c r="E43" s="11"/>
      <c r="F43" s="77" t="s">
        <v>64</v>
      </c>
      <c r="G43" s="15"/>
      <c r="H43" s="65"/>
      <c r="I43" s="2"/>
      <c r="J43" s="2"/>
      <c r="K43" s="2"/>
      <c r="L43" s="2"/>
      <c r="M43" s="78" t="s">
        <v>65</v>
      </c>
      <c r="N43" s="136"/>
      <c r="P43" s="292"/>
      <c r="Q43" s="295" t="s">
        <v>190</v>
      </c>
      <c r="R43" s="299">
        <v>1</v>
      </c>
      <c r="S43" s="292" t="s">
        <v>117</v>
      </c>
      <c r="T43" s="292"/>
      <c r="U43" s="292"/>
      <c r="V43" s="303" t="s">
        <v>132</v>
      </c>
      <c r="W43" s="299">
        <v>36</v>
      </c>
      <c r="X43" s="299" t="str">
        <f>IF(UNIT="SI-Unit","cm2","in2")</f>
        <v>in2</v>
      </c>
    </row>
    <row r="44" spans="1:34">
      <c r="A44" s="65"/>
      <c r="B44" s="2"/>
      <c r="C44" s="2"/>
      <c r="D44" s="2"/>
      <c r="E44" s="11" t="s">
        <v>16</v>
      </c>
      <c r="F44" s="14">
        <v>8</v>
      </c>
      <c r="G44" s="15"/>
      <c r="H44" s="65"/>
      <c r="I44" s="2"/>
      <c r="J44" s="2"/>
      <c r="K44" s="2"/>
      <c r="L44" s="80" t="s">
        <v>16</v>
      </c>
      <c r="M44" s="14">
        <v>6.8</v>
      </c>
      <c r="N44" s="137"/>
      <c r="P44" s="292"/>
      <c r="Q44" s="299"/>
      <c r="R44" s="299"/>
      <c r="S44" s="292"/>
      <c r="T44" s="292"/>
      <c r="U44" s="292"/>
      <c r="V44" s="292"/>
      <c r="W44" s="299"/>
      <c r="X44" s="299"/>
    </row>
    <row r="45" spans="1:34">
      <c r="A45" s="65"/>
      <c r="B45" s="2"/>
      <c r="C45" s="2"/>
      <c r="D45" s="2"/>
      <c r="E45" s="11" t="s">
        <v>15</v>
      </c>
      <c r="F45" s="61">
        <f>F44</f>
        <v>8</v>
      </c>
      <c r="G45" s="15" t="s">
        <v>93</v>
      </c>
      <c r="H45" s="65"/>
      <c r="I45" s="2"/>
      <c r="J45" s="2"/>
      <c r="K45" s="2"/>
      <c r="L45" s="80" t="s">
        <v>15</v>
      </c>
      <c r="M45" s="61">
        <f>IF(SelectScenario!$G$6="Non-Modulating",0,M44)</f>
        <v>6.8</v>
      </c>
      <c r="N45" s="135" t="s">
        <v>93</v>
      </c>
      <c r="O45" s="1"/>
      <c r="P45" s="292"/>
      <c r="Q45" s="299"/>
      <c r="R45" s="295" t="s">
        <v>193</v>
      </c>
      <c r="S45" s="292"/>
      <c r="T45" s="292"/>
      <c r="U45" s="292"/>
      <c r="V45" s="292"/>
      <c r="W45" s="295" t="s">
        <v>133</v>
      </c>
      <c r="X45" s="299"/>
      <c r="AH45" s="18"/>
    </row>
    <row r="46" spans="1:34" ht="18">
      <c r="A46" s="65"/>
      <c r="B46" s="2"/>
      <c r="C46" s="2"/>
      <c r="D46" s="2"/>
      <c r="E46" s="11"/>
      <c r="F46" s="60"/>
      <c r="G46" s="15"/>
      <c r="H46" s="65"/>
      <c r="I46" s="2"/>
      <c r="J46" s="2"/>
      <c r="K46" s="2"/>
      <c r="L46" s="80"/>
      <c r="M46" s="60"/>
      <c r="N46" s="86"/>
      <c r="O46" s="1"/>
      <c r="P46" s="292"/>
      <c r="Q46" s="295" t="s">
        <v>191</v>
      </c>
      <c r="R46" s="299">
        <v>5</v>
      </c>
      <c r="S46" s="292" t="s">
        <v>117</v>
      </c>
      <c r="T46" s="292"/>
      <c r="U46" s="292"/>
      <c r="V46" s="303" t="s">
        <v>357</v>
      </c>
      <c r="W46" s="299">
        <v>36</v>
      </c>
      <c r="X46" s="299" t="str">
        <f>IF(UNIT="SI-Unit","cm2","in2")</f>
        <v>in2</v>
      </c>
      <c r="AH46" s="18"/>
    </row>
    <row r="47" spans="1:34">
      <c r="A47" s="65"/>
      <c r="B47" s="2"/>
      <c r="C47" s="2"/>
      <c r="D47" s="2"/>
      <c r="E47" s="2"/>
      <c r="F47" s="77" t="s">
        <v>45</v>
      </c>
      <c r="G47" s="15"/>
      <c r="H47" s="65"/>
      <c r="I47" s="2"/>
      <c r="J47" s="2"/>
      <c r="K47" s="2"/>
      <c r="L47" s="2"/>
      <c r="M47" s="78" t="s">
        <v>46</v>
      </c>
      <c r="N47" s="132"/>
      <c r="O47" s="1"/>
      <c r="P47" s="292"/>
      <c r="Q47" s="292"/>
      <c r="R47" s="292"/>
      <c r="S47" s="292"/>
      <c r="T47" s="292"/>
      <c r="U47" s="292"/>
      <c r="V47" s="292"/>
      <c r="W47" s="299"/>
      <c r="X47" s="299"/>
      <c r="AH47" s="18"/>
    </row>
    <row r="48" spans="1:34">
      <c r="A48" s="65"/>
      <c r="B48" s="2"/>
      <c r="C48" s="2"/>
      <c r="D48" s="2"/>
      <c r="E48" s="2"/>
      <c r="F48" s="11" t="str">
        <f>IF(DATAINPUTcm!$G$5="(Condensing","Note: Measured condensate is required)","(Note: Measured condensate is not required)")</f>
        <v>(Note: Measured condensate is not required)</v>
      </c>
      <c r="G48" s="15"/>
      <c r="H48" s="65"/>
      <c r="I48" s="2"/>
      <c r="J48" s="2"/>
      <c r="K48" s="2"/>
      <c r="L48" s="2"/>
      <c r="M48" s="80" t="str">
        <f>IF(DATAINPUTcm!$G$5="(Condensing","Note: Measured condensate is required)","(Note: Measured condensate is not required)")</f>
        <v>(Note: Measured condensate is not required)</v>
      </c>
      <c r="N48" s="132"/>
      <c r="O48" s="1"/>
      <c r="P48" s="292"/>
      <c r="Q48" s="292"/>
      <c r="R48" s="292"/>
      <c r="S48" s="292"/>
      <c r="T48" s="292"/>
      <c r="U48" s="292"/>
      <c r="V48" s="292"/>
      <c r="W48" s="295" t="s">
        <v>136</v>
      </c>
      <c r="X48" s="299"/>
      <c r="AH48" s="18"/>
    </row>
    <row r="49" spans="1:34" ht="18">
      <c r="A49" s="65"/>
      <c r="B49" s="2"/>
      <c r="C49" s="2"/>
      <c r="D49" s="2"/>
      <c r="E49" s="11" t="s">
        <v>16</v>
      </c>
      <c r="F49" s="14">
        <f>2.737</f>
        <v>2.7370000000000001</v>
      </c>
      <c r="G49" s="15"/>
      <c r="H49" s="65"/>
      <c r="I49" s="2"/>
      <c r="J49" s="2"/>
      <c r="K49" s="2"/>
      <c r="L49" s="80" t="s">
        <v>16</v>
      </c>
      <c r="M49" s="14">
        <f>2.166</f>
        <v>2.1659999999999999</v>
      </c>
      <c r="N49" s="70"/>
      <c r="O49" s="1"/>
      <c r="P49" s="292"/>
      <c r="Q49" s="292"/>
      <c r="R49" s="292"/>
      <c r="S49" s="292"/>
      <c r="T49" s="292"/>
      <c r="U49" s="292"/>
      <c r="V49" s="303" t="s">
        <v>358</v>
      </c>
      <c r="W49" s="299">
        <v>2</v>
      </c>
      <c r="X49" s="299" t="str">
        <f>IF(UNIT="SI-Unit","cm2","in2")</f>
        <v>in2</v>
      </c>
      <c r="AH49" s="18"/>
    </row>
    <row r="50" spans="1:34">
      <c r="A50" s="65"/>
      <c r="B50" s="2"/>
      <c r="C50" s="2"/>
      <c r="E50" s="11" t="s">
        <v>15</v>
      </c>
      <c r="F50" s="61">
        <f>IF(SelectScenario!$G$4="Condensing",DATAINPUTcm!F49,0)</f>
        <v>2.7370000000000001</v>
      </c>
      <c r="G50" s="15" t="str">
        <f>IF(UNIT="SI-Unit","KG/HR","LB/HR")</f>
        <v>LB/HR</v>
      </c>
      <c r="H50" s="65"/>
      <c r="I50" s="2"/>
      <c r="J50" s="2"/>
      <c r="K50" s="2"/>
      <c r="L50" s="80" t="s">
        <v>15</v>
      </c>
      <c r="M50" s="61">
        <f>IF(SelectScenario!$G$6="Non-Modulating",0,M49)</f>
        <v>2.1659999999999999</v>
      </c>
      <c r="N50" s="131" t="str">
        <f>IF(UNIT="SI-Unit","KG/HR","LD/HR")</f>
        <v>LD/HR</v>
      </c>
      <c r="O50" s="1"/>
      <c r="P50" s="292"/>
      <c r="Q50" s="292"/>
      <c r="R50" s="292"/>
      <c r="S50" s="292"/>
      <c r="T50" s="292"/>
      <c r="U50" s="292"/>
      <c r="V50" s="292"/>
      <c r="W50" s="299"/>
      <c r="X50" s="299"/>
      <c r="AH50" s="18"/>
    </row>
    <row r="51" spans="1:34">
      <c r="A51" s="65"/>
      <c r="B51" s="2"/>
      <c r="C51" s="2"/>
      <c r="D51" s="2"/>
      <c r="E51" s="11"/>
      <c r="F51" s="60"/>
      <c r="G51" s="15"/>
      <c r="H51" s="65"/>
      <c r="I51" s="2"/>
      <c r="J51" s="2"/>
      <c r="K51" s="2"/>
      <c r="L51" s="80"/>
      <c r="M51" s="60"/>
      <c r="N51" s="86"/>
      <c r="O51" s="1"/>
      <c r="P51" s="292"/>
      <c r="Q51" s="292"/>
      <c r="R51" s="292"/>
      <c r="S51" s="292"/>
      <c r="T51" s="292"/>
      <c r="U51" s="292"/>
      <c r="V51" s="292"/>
      <c r="W51" s="295" t="s">
        <v>138</v>
      </c>
      <c r="X51" s="299"/>
      <c r="AH51" s="18"/>
    </row>
    <row r="52" spans="1:34" ht="18">
      <c r="A52" s="65"/>
      <c r="B52" s="2"/>
      <c r="C52" s="2"/>
      <c r="D52" s="2"/>
      <c r="E52" s="11"/>
      <c r="F52" s="77" t="s">
        <v>63</v>
      </c>
      <c r="G52" s="15"/>
      <c r="H52" s="65"/>
      <c r="I52" s="2"/>
      <c r="J52" s="2"/>
      <c r="K52" s="2"/>
      <c r="L52" s="80"/>
      <c r="M52" s="78" t="s">
        <v>63</v>
      </c>
      <c r="N52" s="86"/>
      <c r="O52" s="1"/>
      <c r="P52" s="292"/>
      <c r="Q52" s="292"/>
      <c r="R52" s="292"/>
      <c r="S52" s="292"/>
      <c r="T52" s="292"/>
      <c r="U52" s="292"/>
      <c r="V52" s="303" t="s">
        <v>359</v>
      </c>
      <c r="W52" s="299">
        <v>2</v>
      </c>
      <c r="X52" s="299" t="str">
        <f>IF(UNIT="SI-Unit","cm2","in2")</f>
        <v>in2</v>
      </c>
      <c r="AH52" s="18"/>
    </row>
    <row r="53" spans="1:34">
      <c r="A53" s="65"/>
      <c r="B53" s="2"/>
      <c r="C53" s="2"/>
      <c r="D53" s="2"/>
      <c r="E53" s="11" t="s">
        <v>16</v>
      </c>
      <c r="F53" s="362">
        <f>AVERAGE(W66,W69,W72)</f>
        <v>85.34999999999998</v>
      </c>
      <c r="G53" s="15"/>
      <c r="H53" s="65"/>
      <c r="I53" s="2"/>
      <c r="J53" s="2"/>
      <c r="K53" s="2"/>
      <c r="L53" s="11" t="s">
        <v>16</v>
      </c>
      <c r="M53" s="362">
        <f>AVERAGE(W67,W70,W73)</f>
        <v>82.923333333333332</v>
      </c>
      <c r="N53" s="131"/>
      <c r="P53" s="292"/>
      <c r="Q53" s="292"/>
      <c r="R53" s="292"/>
      <c r="S53" s="292"/>
      <c r="T53" s="292"/>
      <c r="U53" s="292"/>
      <c r="V53" s="292"/>
      <c r="W53" s="299"/>
      <c r="X53" s="299"/>
    </row>
    <row r="54" spans="1:34">
      <c r="A54" s="65"/>
      <c r="B54" s="2"/>
      <c r="C54" s="2"/>
      <c r="D54" s="2"/>
      <c r="E54" s="11" t="s">
        <v>15</v>
      </c>
      <c r="F54" s="363">
        <f>F53</f>
        <v>85.34999999999998</v>
      </c>
      <c r="G54" s="15" t="str">
        <f>IF(UNIT="SI-Unit","C-Degree","F-Degree")</f>
        <v>F-Degree</v>
      </c>
      <c r="H54" s="65"/>
      <c r="I54" s="2"/>
      <c r="J54" s="2"/>
      <c r="K54" s="2"/>
      <c r="L54" s="11" t="s">
        <v>15</v>
      </c>
      <c r="M54" s="363">
        <f>M53</f>
        <v>82.923333333333332</v>
      </c>
      <c r="N54" s="131" t="str">
        <f>IF(UNIT="SI-Unit","C-Degree","F-Degree")</f>
        <v>F-Degree</v>
      </c>
      <c r="P54" s="292"/>
      <c r="Q54" s="292"/>
      <c r="R54" s="292"/>
      <c r="S54" s="292"/>
      <c r="T54" s="292"/>
      <c r="U54" s="292"/>
      <c r="V54" s="292"/>
      <c r="W54" s="295" t="s">
        <v>139</v>
      </c>
      <c r="X54" s="299"/>
    </row>
    <row r="55" spans="1:34">
      <c r="A55" s="65"/>
      <c r="B55" s="2"/>
      <c r="D55" s="2"/>
      <c r="E55" s="2"/>
      <c r="F55" s="60"/>
      <c r="G55" s="15"/>
      <c r="H55" s="65"/>
      <c r="I55" s="2"/>
      <c r="J55" s="2"/>
      <c r="K55" s="2"/>
      <c r="L55" s="2"/>
      <c r="M55" s="2"/>
      <c r="N55" s="131"/>
      <c r="P55" s="292"/>
      <c r="Q55" s="292"/>
      <c r="R55" s="292"/>
      <c r="S55" s="292"/>
      <c r="T55" s="292"/>
      <c r="U55" s="292"/>
      <c r="V55" s="314" t="s">
        <v>140</v>
      </c>
      <c r="W55" s="299">
        <v>90</v>
      </c>
      <c r="X55" s="299" t="s">
        <v>143</v>
      </c>
    </row>
    <row r="56" spans="1:34">
      <c r="A56" s="65"/>
      <c r="B56" s="2"/>
      <c r="C56" s="2"/>
      <c r="D56" s="2"/>
      <c r="E56" s="2"/>
      <c r="F56" s="77" t="s">
        <v>49</v>
      </c>
      <c r="G56" s="15"/>
      <c r="H56" s="65"/>
      <c r="I56" s="2"/>
      <c r="J56" s="2"/>
      <c r="K56" s="2"/>
      <c r="L56" s="2"/>
      <c r="M56" s="365" t="s">
        <v>376</v>
      </c>
      <c r="N56" s="131"/>
      <c r="O56" s="1"/>
      <c r="P56" s="292"/>
      <c r="Q56" s="292"/>
      <c r="R56" s="292"/>
      <c r="S56" s="292"/>
      <c r="T56" s="292"/>
      <c r="U56" s="292"/>
      <c r="V56" s="292"/>
      <c r="W56" s="299"/>
      <c r="X56" s="299"/>
      <c r="AH56" s="18"/>
    </row>
    <row r="57" spans="1:34">
      <c r="A57" s="65"/>
      <c r="B57" s="2"/>
      <c r="C57" s="2"/>
      <c r="D57" s="2"/>
      <c r="E57" s="11" t="s">
        <v>16</v>
      </c>
      <c r="F57" s="14">
        <v>74.63</v>
      </c>
      <c r="G57" s="15"/>
      <c r="H57" s="65"/>
      <c r="I57" s="2"/>
      <c r="J57" s="2"/>
      <c r="L57" s="80" t="s">
        <v>16</v>
      </c>
      <c r="M57" s="14">
        <v>74.63</v>
      </c>
      <c r="N57" s="131"/>
      <c r="O57" s="1"/>
      <c r="P57" s="292"/>
      <c r="Q57" s="292"/>
      <c r="R57" s="292"/>
      <c r="S57" s="292"/>
      <c r="T57" s="292"/>
      <c r="U57" s="292"/>
      <c r="V57" s="292"/>
      <c r="W57" s="295" t="s">
        <v>135</v>
      </c>
      <c r="X57" s="299"/>
      <c r="AH57" s="18"/>
    </row>
    <row r="58" spans="1:34" ht="18">
      <c r="A58" s="65"/>
      <c r="B58" s="2"/>
      <c r="C58" s="2"/>
      <c r="D58" s="2"/>
      <c r="E58" s="11" t="s">
        <v>15</v>
      </c>
      <c r="F58" s="61">
        <f>F57</f>
        <v>74.63</v>
      </c>
      <c r="G58" s="15" t="str">
        <f>IF(UNIT="SI-Unit","C-Degree","F-Degree")</f>
        <v>F-Degree</v>
      </c>
      <c r="H58" s="65"/>
      <c r="I58" s="2"/>
      <c r="J58" s="2"/>
      <c r="K58" s="2"/>
      <c r="L58" s="80" t="s">
        <v>15</v>
      </c>
      <c r="M58" s="61">
        <f>M57</f>
        <v>74.63</v>
      </c>
      <c r="N58" s="131" t="str">
        <f>IF(UNIT="SI-Unit","C-Degree","F-Degree")</f>
        <v>F-Degree</v>
      </c>
      <c r="O58" s="1"/>
      <c r="P58" s="292"/>
      <c r="Q58" s="292"/>
      <c r="R58" s="292"/>
      <c r="S58" s="292"/>
      <c r="T58" s="292"/>
      <c r="U58" s="292"/>
      <c r="V58" s="303" t="s">
        <v>360</v>
      </c>
      <c r="W58" s="315">
        <f>W49*COS(W55*3.14/180)+W52</f>
        <v>2.0015926534214663</v>
      </c>
      <c r="X58" s="299" t="str">
        <f>IF(UNIT="SI-Unit","cm2","in2")</f>
        <v>in2</v>
      </c>
      <c r="AH58" s="18"/>
    </row>
    <row r="59" spans="1:34" ht="15.75" thickBot="1">
      <c r="A59" s="71"/>
      <c r="B59" s="72"/>
      <c r="C59" s="72"/>
      <c r="D59" s="72"/>
      <c r="E59" s="72"/>
      <c r="F59" s="83"/>
      <c r="G59" s="72"/>
      <c r="H59" s="71"/>
      <c r="I59" s="72"/>
      <c r="J59" s="72"/>
      <c r="K59" s="72"/>
      <c r="L59" s="72"/>
      <c r="M59" s="72"/>
      <c r="N59" s="74"/>
      <c r="O59" s="1"/>
      <c r="P59" s="292"/>
      <c r="Q59" s="292"/>
      <c r="R59" s="292"/>
      <c r="S59" s="292"/>
      <c r="T59" s="292"/>
      <c r="U59" s="292"/>
      <c r="V59" s="292"/>
      <c r="W59" s="292"/>
      <c r="X59" s="292"/>
      <c r="AH59" s="18"/>
    </row>
    <row r="60" spans="1:34" ht="15.75" thickBot="1">
      <c r="A60" s="2"/>
      <c r="B60" s="2"/>
      <c r="C60" s="2"/>
      <c r="D60" s="2"/>
      <c r="E60" s="2"/>
      <c r="F60" s="81"/>
      <c r="G60" s="2"/>
      <c r="H60" s="2"/>
      <c r="I60" s="2"/>
      <c r="J60" s="2"/>
      <c r="K60" s="2"/>
      <c r="L60" s="2"/>
      <c r="M60" s="2"/>
      <c r="N60" s="2"/>
      <c r="O60" s="1"/>
      <c r="AH60" s="18"/>
    </row>
    <row r="61" spans="1:34" ht="16.5" thickBot="1">
      <c r="A61" s="95" t="s">
        <v>25</v>
      </c>
      <c r="B61" s="95"/>
      <c r="C61" s="96"/>
      <c r="D61" s="96"/>
      <c r="E61" s="96"/>
      <c r="F61" s="97"/>
      <c r="G61" s="96"/>
      <c r="H61" s="96"/>
      <c r="I61" s="96"/>
      <c r="J61" s="96"/>
      <c r="K61" s="96"/>
      <c r="L61" s="96"/>
      <c r="M61" s="96"/>
      <c r="N61" s="98"/>
      <c r="P61" s="139"/>
      <c r="Q61" s="140"/>
      <c r="R61" s="140"/>
      <c r="S61" s="140"/>
      <c r="T61" s="140"/>
      <c r="U61" s="140"/>
      <c r="V61" s="140"/>
      <c r="W61" s="178" t="s">
        <v>182</v>
      </c>
      <c r="X61" s="175"/>
      <c r="AH61" s="18"/>
    </row>
    <row r="62" spans="1:34">
      <c r="A62" s="62"/>
      <c r="B62" s="63"/>
      <c r="C62" s="63"/>
      <c r="D62" s="63"/>
      <c r="E62" s="63"/>
      <c r="F62" s="102" t="s">
        <v>59</v>
      </c>
      <c r="G62" s="64"/>
      <c r="H62" s="62"/>
      <c r="I62" s="63"/>
      <c r="J62" s="63"/>
      <c r="K62" s="63"/>
      <c r="L62" s="63"/>
      <c r="M62" s="103" t="s">
        <v>56</v>
      </c>
      <c r="N62" s="64"/>
      <c r="P62" s="62"/>
      <c r="Q62" s="63"/>
      <c r="R62" s="63"/>
      <c r="S62" s="63"/>
      <c r="T62" s="63"/>
      <c r="U62" s="63"/>
      <c r="V62" s="63"/>
      <c r="W62" s="75" t="s">
        <v>183</v>
      </c>
      <c r="X62" s="64"/>
      <c r="AH62" s="18"/>
    </row>
    <row r="63" spans="1:34">
      <c r="A63" s="65"/>
      <c r="B63" s="2"/>
      <c r="C63" s="2"/>
      <c r="D63" s="2"/>
      <c r="E63" s="2"/>
      <c r="F63" s="88" t="str">
        <f>IF(SelectScenario!$G$6="Non-Modulating","(The maximum parameters are required@"&amp;SelectScenario!$G$6&amp;")",IF(SelectScenario!$G$6="Step-Modulating","The maximum parameters are not required@"&amp;SelectScenario!$G$6&amp;")","(The maximum parameters are required@"&amp;SelectScenario!$G$6&amp;")"))</f>
        <v>The maximum parameters are not required@Step-Modulating)</v>
      </c>
      <c r="G63" s="79"/>
      <c r="H63" s="65"/>
      <c r="I63" s="2"/>
      <c r="J63" s="2"/>
      <c r="K63" s="2"/>
      <c r="L63" s="2"/>
      <c r="M63" s="84" t="str">
        <f>IF(SelectScenario!$G$6="Non-Modulating","(The reduced parameters are not required@"&amp;SelectScenario!$G$6&amp;")",IF(SelectScenario!$G$6="Step-Modulating","The reduced parameters are required@"&amp;SelectScenario!$G$6&amp;")","(The reduced parameters are required@"&amp;SelectScenario!$G$6&amp;")"))</f>
        <v>The reduced parameters are required@Step-Modulating)</v>
      </c>
      <c r="N63" s="79"/>
      <c r="P63" s="65"/>
      <c r="Q63" s="2"/>
      <c r="R63" s="2"/>
      <c r="S63" s="2"/>
      <c r="T63" s="2"/>
      <c r="U63" s="2"/>
      <c r="V63" s="2"/>
      <c r="W63" s="2"/>
      <c r="X63" s="79"/>
      <c r="AH63" s="18"/>
    </row>
    <row r="64" spans="1:34">
      <c r="A64" s="65"/>
      <c r="B64" s="2"/>
      <c r="C64" s="2"/>
      <c r="D64" s="2"/>
      <c r="E64" s="2"/>
      <c r="F64" s="88"/>
      <c r="G64" s="79"/>
      <c r="H64" s="134"/>
      <c r="I64" s="82"/>
      <c r="J64" s="82"/>
      <c r="K64" s="82"/>
      <c r="L64" s="82"/>
      <c r="M64" s="84"/>
      <c r="N64" s="194"/>
      <c r="P64" s="65"/>
      <c r="Q64" s="2"/>
      <c r="R64" s="2"/>
      <c r="S64" s="2"/>
      <c r="T64" s="2"/>
      <c r="U64" s="2"/>
      <c r="V64" s="2"/>
      <c r="W64" s="2"/>
      <c r="X64" s="79"/>
      <c r="AH64" s="18"/>
    </row>
    <row r="65" spans="1:34">
      <c r="A65" s="125" t="s">
        <v>29</v>
      </c>
      <c r="B65" s="2"/>
      <c r="C65" s="2"/>
      <c r="D65" s="2"/>
      <c r="E65" s="2"/>
      <c r="F65" s="77" t="s">
        <v>28</v>
      </c>
      <c r="G65" s="79"/>
      <c r="H65" s="127" t="s">
        <v>29</v>
      </c>
      <c r="I65" s="82"/>
      <c r="J65" s="2"/>
      <c r="K65" s="2"/>
      <c r="L65" s="2"/>
      <c r="M65" s="78" t="s">
        <v>28</v>
      </c>
      <c r="N65" s="194"/>
      <c r="P65" s="65"/>
      <c r="Q65" s="2"/>
      <c r="R65" s="2"/>
      <c r="S65" s="368" t="s">
        <v>181</v>
      </c>
      <c r="T65" s="2"/>
      <c r="U65" s="2"/>
      <c r="V65" s="2"/>
      <c r="W65" s="368" t="s">
        <v>180</v>
      </c>
      <c r="X65" s="79"/>
      <c r="AH65" s="18"/>
    </row>
    <row r="66" spans="1:34">
      <c r="A66" s="191">
        <f>A86+1.5</f>
        <v>1.5</v>
      </c>
      <c r="B66" s="2" t="s">
        <v>117</v>
      </c>
      <c r="C66" s="2"/>
      <c r="D66" s="2"/>
      <c r="E66" s="81" t="str">
        <f>IF($M$3="YES","tp is pos-purge period","N/A")</f>
        <v>N/A</v>
      </c>
      <c r="F66" s="14">
        <v>93.902000000000001</v>
      </c>
      <c r="G66" s="79"/>
      <c r="H66" s="128">
        <f>H86+1.5</f>
        <v>1.5</v>
      </c>
      <c r="I66" s="82" t="s">
        <v>117</v>
      </c>
      <c r="J66" s="2"/>
      <c r="K66" s="2"/>
      <c r="L66" s="78" t="str">
        <f>IF($M$3="YES","tp is pos-purge period","N/A")</f>
        <v>N/A</v>
      </c>
      <c r="M66" s="196">
        <v>88.75</v>
      </c>
      <c r="N66" s="194"/>
      <c r="P66" s="65"/>
      <c r="Q66" s="2"/>
      <c r="R66" s="2"/>
      <c r="S66" s="177">
        <f>960/2.54/2.54</f>
        <v>148.8002976005952</v>
      </c>
      <c r="T66" s="15" t="str">
        <f>IF(UNIT="SI-Unit","cm2","in2")</f>
        <v>in2</v>
      </c>
      <c r="U66" s="94"/>
      <c r="V66" s="11" t="s">
        <v>377</v>
      </c>
      <c r="W66" s="177">
        <v>94.33</v>
      </c>
      <c r="X66" s="79" t="str">
        <f>IF(UNIT="SI-Unit","C-Degree","F-Degree")</f>
        <v>F-Degree</v>
      </c>
      <c r="AH66" s="18"/>
    </row>
    <row r="67" spans="1:34">
      <c r="A67" s="125"/>
      <c r="B67" s="2"/>
      <c r="C67" s="2"/>
      <c r="D67" s="2"/>
      <c r="E67" s="81" t="str">
        <f>IF($M$3="YES","Note: t3=tp+1.5min after a burner shuts off","Note: t3=1.5min after a burner shuts off")</f>
        <v>Note: t3=1.5min after a burner shuts off</v>
      </c>
      <c r="F67" s="61">
        <f>IF(F66&lt;=F75,F75+0.2*IF(UNIT="SI-Uunit",1,1.8),IF(F66&lt;=F71,F71+0.1*IF(UNIT="SI-Uunit",1,1.8),F66))</f>
        <v>93.902000000000001</v>
      </c>
      <c r="G67" s="79" t="str">
        <f>IF(UNIT="SI-Unit","C-Degree","F-Degree")</f>
        <v>F-Degree</v>
      </c>
      <c r="H67" s="127"/>
      <c r="I67" s="82"/>
      <c r="J67" s="2"/>
      <c r="K67" s="2"/>
      <c r="L67" s="78" t="str">
        <f>IF($M$3="YES","Note: t3=tp+1.5min after a burner shuts off","Note: t3=1.5min after a burner shuts off")</f>
        <v>Note: t3=1.5min after a burner shuts off</v>
      </c>
      <c r="M67" s="205">
        <f>IF(M66&lt;=M75,M75+0.2*IF(UNIT="SI-Uunit",1,1.8),IF(M66&lt;=M71,M71+0.1*IF(UNIT="SI-Uunit",1,1.8),M66))</f>
        <v>88.75</v>
      </c>
      <c r="N67" s="194" t="str">
        <f>IF(UNIT="SI-Unit","C-Degree","F-Degree")</f>
        <v>F-Degree</v>
      </c>
      <c r="P67" s="65"/>
      <c r="Q67" s="2"/>
      <c r="R67" s="2"/>
      <c r="S67" s="2"/>
      <c r="T67" s="2"/>
      <c r="U67" s="94"/>
      <c r="V67" s="11" t="s">
        <v>378</v>
      </c>
      <c r="W67" s="177">
        <v>91.07</v>
      </c>
      <c r="X67" s="79" t="str">
        <f>IF(UNIT="SI-Unit","C-Degree","F-Degree")</f>
        <v>F-Degree</v>
      </c>
      <c r="AH67" s="18"/>
    </row>
    <row r="68" spans="1:34">
      <c r="A68" s="65"/>
      <c r="B68" s="2"/>
      <c r="C68" s="2"/>
      <c r="D68" s="2"/>
      <c r="E68" s="2"/>
      <c r="F68" s="8"/>
      <c r="G68" s="79"/>
      <c r="H68" s="2"/>
      <c r="I68" s="2"/>
      <c r="J68" s="2"/>
      <c r="K68" s="2"/>
      <c r="L68" s="94"/>
      <c r="M68" s="195"/>
      <c r="N68" s="194"/>
      <c r="P68" s="65"/>
      <c r="Q68" s="2"/>
      <c r="R68" s="2"/>
      <c r="S68" s="368" t="s">
        <v>370</v>
      </c>
      <c r="T68" s="2"/>
      <c r="U68" s="2"/>
      <c r="V68" s="2"/>
      <c r="W68" s="368" t="s">
        <v>371</v>
      </c>
      <c r="X68" s="79"/>
      <c r="AH68" s="18"/>
    </row>
    <row r="69" spans="1:34">
      <c r="A69" s="125" t="s">
        <v>31</v>
      </c>
      <c r="B69" s="2"/>
      <c r="C69" s="2"/>
      <c r="D69" s="2"/>
      <c r="E69" s="2"/>
      <c r="F69" s="77" t="s">
        <v>32</v>
      </c>
      <c r="G69" s="79"/>
      <c r="H69" s="127" t="s">
        <v>31</v>
      </c>
      <c r="I69" s="82"/>
      <c r="J69" s="2"/>
      <c r="K69" s="2"/>
      <c r="L69" s="94"/>
      <c r="M69" s="78" t="s">
        <v>32</v>
      </c>
      <c r="N69" s="194"/>
      <c r="P69" s="65"/>
      <c r="Q69" s="2"/>
      <c r="R69" s="2"/>
      <c r="S69" s="177">
        <f>20254/2.54/2.54</f>
        <v>3139.3762787525575</v>
      </c>
      <c r="T69" s="15" t="str">
        <f>IF(UNIT="SI-Unit","cm2","in2")</f>
        <v>in2</v>
      </c>
      <c r="U69" s="2"/>
      <c r="V69" s="11" t="s">
        <v>377</v>
      </c>
      <c r="W69" s="177">
        <v>86.37</v>
      </c>
      <c r="X69" s="79" t="str">
        <f>IF(UNIT="SI-Unit","C-Degree","F-Degree")</f>
        <v>F-Degree</v>
      </c>
      <c r="AH69" s="18"/>
    </row>
    <row r="70" spans="1:34">
      <c r="A70" s="192">
        <f>A86+9</f>
        <v>9</v>
      </c>
      <c r="B70" s="2" t="s">
        <v>117</v>
      </c>
      <c r="C70" s="2"/>
      <c r="D70" s="2"/>
      <c r="E70" s="104" t="str">
        <f>IF($M$3="YES","tp is pos-purge period","N/A")</f>
        <v>N/A</v>
      </c>
      <c r="F70" s="14">
        <v>87.57</v>
      </c>
      <c r="G70" s="79"/>
      <c r="H70" s="129">
        <f>H86+9</f>
        <v>9</v>
      </c>
      <c r="I70" s="82" t="s">
        <v>117</v>
      </c>
      <c r="J70" s="2"/>
      <c r="K70" s="2"/>
      <c r="L70" s="78" t="str">
        <f>IF($M$3="YES","tp is pos-purge period","N/A")</f>
        <v>N/A</v>
      </c>
      <c r="M70" s="196">
        <v>88.71</v>
      </c>
      <c r="N70" s="194"/>
      <c r="P70" s="65"/>
      <c r="Q70" s="2"/>
      <c r="R70" s="2"/>
      <c r="S70" s="2"/>
      <c r="T70" s="2"/>
      <c r="U70" s="2"/>
      <c r="V70" s="11" t="s">
        <v>378</v>
      </c>
      <c r="W70" s="177">
        <v>83.21</v>
      </c>
      <c r="X70" s="79" t="str">
        <f>IF(UNIT="SI-Unit","C-Degree","F-Degree")</f>
        <v>F-Degree</v>
      </c>
      <c r="AH70" s="18"/>
    </row>
    <row r="71" spans="1:34">
      <c r="A71" s="65"/>
      <c r="B71" s="2"/>
      <c r="C71" s="2"/>
      <c r="D71" s="2"/>
      <c r="E71" s="81" t="str">
        <f>IF($M$3="YES","Note: t4=tp+9.0min after a burner shuts off","Note: t4=9.0min after a burner shuts off")</f>
        <v>Note: t4=9.0min after a burner shuts off</v>
      </c>
      <c r="F71" s="61">
        <f>IF(F70&lt;=F75,F75+0.1*IF(UNIT="SI-Uunit",1,1.8),F70)</f>
        <v>87.57</v>
      </c>
      <c r="G71" s="79" t="str">
        <f>IF(UNIT="SI-Unit","C-Degree","F-Degree")</f>
        <v>F-Degree</v>
      </c>
      <c r="H71" s="2"/>
      <c r="I71" s="2"/>
      <c r="J71" s="2"/>
      <c r="K71" s="2"/>
      <c r="L71" s="78" t="str">
        <f>IF($M$3="YES","Note: t4=tp+9.0min after a burner shuts off","Note: t4=9.0min after a burner shuts off")</f>
        <v>Note: t4=9.0min after a burner shuts off</v>
      </c>
      <c r="M71" s="205">
        <f>IF(M70&lt;=M75,M75+0.1*IF(UNIT="SI-Uunit",1,1.8),M70)</f>
        <v>88.71</v>
      </c>
      <c r="N71" s="194" t="str">
        <f>IF(UNIT="SI-Unit","C-Degree","F-Degree")</f>
        <v>F-Degree</v>
      </c>
      <c r="P71" s="65"/>
      <c r="Q71" s="2"/>
      <c r="R71" s="2"/>
      <c r="S71" s="368" t="s">
        <v>372</v>
      </c>
      <c r="T71" s="2"/>
      <c r="U71" s="2"/>
      <c r="V71" s="2"/>
      <c r="W71" s="368" t="s">
        <v>373</v>
      </c>
      <c r="X71" s="79"/>
      <c r="AH71" s="18"/>
    </row>
    <row r="72" spans="1:34">
      <c r="A72" s="65"/>
      <c r="B72" s="2"/>
      <c r="C72" s="2"/>
      <c r="D72" s="2"/>
      <c r="E72" s="2"/>
      <c r="F72" s="8"/>
      <c r="G72" s="79"/>
      <c r="H72" s="2"/>
      <c r="I72" s="2"/>
      <c r="J72" s="2"/>
      <c r="K72" s="2"/>
      <c r="L72" s="94"/>
      <c r="M72" s="195"/>
      <c r="N72" s="194"/>
      <c r="P72" s="65"/>
      <c r="Q72" s="2"/>
      <c r="R72" s="2"/>
      <c r="S72" s="177">
        <f>3161/2.54/2.54</f>
        <v>489.95597991195979</v>
      </c>
      <c r="T72" s="15" t="str">
        <f>IF(UNIT="SI-Unit","cm2","in2")</f>
        <v>in2</v>
      </c>
      <c r="U72" s="2"/>
      <c r="V72" s="11" t="s">
        <v>377</v>
      </c>
      <c r="W72" s="177">
        <v>75.349999999999994</v>
      </c>
      <c r="X72" s="79" t="str">
        <f>IF(UNIT="SI-Unit","C-Degree","F-Degree")</f>
        <v>F-Degree</v>
      </c>
      <c r="AH72" s="18"/>
    </row>
    <row r="73" spans="1:34">
      <c r="A73" s="125" t="s">
        <v>119</v>
      </c>
      <c r="B73" s="2"/>
      <c r="C73" s="2"/>
      <c r="D73" s="2"/>
      <c r="E73" s="2"/>
      <c r="F73" s="77" t="s">
        <v>33</v>
      </c>
      <c r="G73" s="79"/>
      <c r="H73" s="127" t="s">
        <v>119</v>
      </c>
      <c r="I73" s="82"/>
      <c r="J73" s="2"/>
      <c r="K73" s="2"/>
      <c r="L73" s="94"/>
      <c r="M73" s="78" t="s">
        <v>33</v>
      </c>
      <c r="N73" s="194"/>
      <c r="P73" s="65"/>
      <c r="Q73" s="2"/>
      <c r="R73" s="2"/>
      <c r="S73" s="2"/>
      <c r="T73" s="2"/>
      <c r="U73" s="2"/>
      <c r="V73" s="11" t="s">
        <v>378</v>
      </c>
      <c r="W73" s="177">
        <v>74.489999999999995</v>
      </c>
      <c r="X73" s="79" t="str">
        <f>IF(UNIT="SI-Unit","C-Degree","F-Degree")</f>
        <v>F-Degree</v>
      </c>
      <c r="AH73" s="18"/>
    </row>
    <row r="74" spans="1:34">
      <c r="A74" s="191">
        <v>60</v>
      </c>
      <c r="B74" s="2" t="s">
        <v>117</v>
      </c>
      <c r="C74" s="2"/>
      <c r="D74" s="2"/>
      <c r="E74" s="104"/>
      <c r="F74" s="14">
        <v>74.63</v>
      </c>
      <c r="G74" s="79"/>
      <c r="H74" s="128">
        <v>60</v>
      </c>
      <c r="I74" s="82" t="s">
        <v>117</v>
      </c>
      <c r="J74" s="2"/>
      <c r="K74" s="2"/>
      <c r="L74" s="94"/>
      <c r="M74" s="196">
        <v>74.63</v>
      </c>
      <c r="N74" s="194"/>
      <c r="P74" s="65"/>
      <c r="Q74" s="2"/>
      <c r="R74" s="2"/>
      <c r="S74" s="368" t="s">
        <v>184</v>
      </c>
      <c r="T74" s="2"/>
      <c r="U74" s="2"/>
      <c r="V74" s="2"/>
      <c r="W74" s="2"/>
      <c r="X74" s="79"/>
      <c r="AH74" s="18"/>
    </row>
    <row r="75" spans="1:34">
      <c r="A75" s="65"/>
      <c r="B75" s="2"/>
      <c r="C75" s="2"/>
      <c r="D75" s="2"/>
      <c r="E75" s="81" t="str">
        <f>IF(AND(SelectScenario!$G$59="YES",SelectScenario!$G$43="NO"),"Note: TF,OFF[t5] is required","Note: TF,OFF[t5] is not required")</f>
        <v>Note: TF,OFF[t5] is not required</v>
      </c>
      <c r="F75" s="93">
        <f>IF(AND(SelectScenario!$G$59="YES",SelectScenario!$G$43="NO"),DATAINPUTcm!F74,DATAINPUTcm!F58)</f>
        <v>74.63</v>
      </c>
      <c r="G75" s="79" t="str">
        <f>IF(UNIT="SI-Unit","C-Degree","F-Degree")</f>
        <v>F-Degree</v>
      </c>
      <c r="H75" s="2"/>
      <c r="I75" s="2"/>
      <c r="J75" s="2"/>
      <c r="K75" s="2"/>
      <c r="L75" s="78" t="str">
        <f>IF(AND(SelectScenario!$G$59="YES",SelectScenario!$G$43="NO"),"Note: TF,OFF[t5] is required","Note: TF,OFF[t5] is not required")</f>
        <v>Note: TF,OFF[t5] is not required</v>
      </c>
      <c r="M75" s="206">
        <f>IF(AND(SelectScenario!$G$59="YES",SelectScenario!$G$43="NO"),DATAINPUTcm!M74,F58)</f>
        <v>74.63</v>
      </c>
      <c r="N75" s="194" t="str">
        <f>IF(UNIT="SI-Unit","C-Degree","F-Degree")</f>
        <v>F-Degree</v>
      </c>
      <c r="P75" s="65"/>
      <c r="Q75" s="2"/>
      <c r="R75" s="2"/>
      <c r="S75" s="130" t="s">
        <v>185</v>
      </c>
      <c r="T75" s="181" t="s">
        <v>189</v>
      </c>
      <c r="U75" s="2"/>
      <c r="V75" s="2"/>
      <c r="W75" s="2"/>
      <c r="X75" s="79"/>
      <c r="AH75" s="18"/>
    </row>
    <row r="76" spans="1:34">
      <c r="A76" s="65"/>
      <c r="B76" s="2"/>
      <c r="C76" s="2"/>
      <c r="D76" s="2"/>
      <c r="E76" s="2"/>
      <c r="F76" s="66"/>
      <c r="G76" s="193"/>
      <c r="H76" s="65"/>
      <c r="I76" s="2"/>
      <c r="J76" s="2"/>
      <c r="K76" s="2"/>
      <c r="L76" s="94"/>
      <c r="M76" s="84"/>
      <c r="N76" s="194"/>
      <c r="P76" s="65"/>
      <c r="Q76" s="2"/>
      <c r="R76" s="2"/>
      <c r="S76" s="2"/>
      <c r="T76" s="2"/>
      <c r="U76" s="2"/>
      <c r="V76" s="2"/>
      <c r="W76" s="2"/>
      <c r="X76" s="79"/>
      <c r="AH76" s="18"/>
    </row>
    <row r="77" spans="1:34">
      <c r="A77" s="65"/>
      <c r="B77" s="2"/>
      <c r="C77" s="2"/>
      <c r="D77" s="2"/>
      <c r="E77" s="2"/>
      <c r="F77" s="77" t="s">
        <v>57</v>
      </c>
      <c r="G77" s="79"/>
      <c r="H77" s="65"/>
      <c r="I77" s="2"/>
      <c r="J77" s="2"/>
      <c r="K77" s="2"/>
      <c r="L77" s="94"/>
      <c r="M77" s="78"/>
      <c r="N77" s="194"/>
      <c r="P77" s="65"/>
      <c r="Q77" s="2"/>
      <c r="R77" s="2"/>
      <c r="S77" s="2"/>
      <c r="T77" s="2"/>
      <c r="U77" s="2"/>
      <c r="V77" s="2"/>
      <c r="W77" s="2"/>
      <c r="X77" s="79"/>
      <c r="AH77" s="18"/>
    </row>
    <row r="78" spans="1:34">
      <c r="A78" s="65"/>
      <c r="B78" s="2"/>
      <c r="C78" s="2"/>
      <c r="D78" s="2"/>
      <c r="E78" s="81" t="str">
        <f>IF(SelectScenario!$G$59="YES","at plit mode","at no plit mode")</f>
        <v>at no plit mode</v>
      </c>
      <c r="F78" s="14">
        <v>0</v>
      </c>
      <c r="G78" s="193"/>
      <c r="H78" s="65"/>
      <c r="I78" s="2"/>
      <c r="J78" s="2"/>
      <c r="K78" s="2"/>
      <c r="L78" s="78"/>
      <c r="M78" s="290"/>
      <c r="N78" s="194"/>
      <c r="P78" s="65"/>
      <c r="Q78" s="2"/>
      <c r="R78" s="2"/>
      <c r="S78" s="2"/>
      <c r="T78" s="2"/>
      <c r="U78" s="2"/>
      <c r="V78" s="2"/>
      <c r="W78" s="2"/>
      <c r="X78" s="79"/>
      <c r="AH78" s="18"/>
    </row>
    <row r="79" spans="1:34">
      <c r="A79" s="65"/>
      <c r="B79" s="2"/>
      <c r="C79" s="2"/>
      <c r="D79" s="2"/>
      <c r="E79" s="81" t="str">
        <f>IF(SelectScenario!$G$59="YES","Note: Qp is required at plit mode","Note: Qp is not required at no plit mode")</f>
        <v>Note: Qp is not required at no plit mode</v>
      </c>
      <c r="F79" s="61">
        <f>F78</f>
        <v>0</v>
      </c>
      <c r="G79" s="131" t="str">
        <f>IF(UNIT="SI-Unit","kW","BTU/HR")</f>
        <v>BTU/HR</v>
      </c>
      <c r="H79" s="65"/>
      <c r="I79" s="2"/>
      <c r="J79" s="2"/>
      <c r="K79" s="2"/>
      <c r="L79" s="78"/>
      <c r="M79" s="291"/>
      <c r="N79" s="133"/>
      <c r="P79" s="65"/>
      <c r="Q79" s="2"/>
      <c r="R79" s="2"/>
      <c r="S79" s="2"/>
      <c r="T79" s="2"/>
      <c r="U79" s="2"/>
      <c r="V79" s="2"/>
      <c r="W79" s="2"/>
      <c r="X79" s="79"/>
      <c r="AH79" s="18"/>
    </row>
    <row r="80" spans="1:34" ht="15.75" thickBot="1">
      <c r="A80" s="71"/>
      <c r="B80" s="72"/>
      <c r="C80" s="72"/>
      <c r="D80" s="72"/>
      <c r="E80" s="72"/>
      <c r="F80" s="72"/>
      <c r="G80" s="74"/>
      <c r="H80" s="71"/>
      <c r="I80" s="72"/>
      <c r="J80" s="72"/>
      <c r="K80" s="105"/>
      <c r="L80" s="72"/>
      <c r="M80" s="72"/>
      <c r="N80" s="74"/>
      <c r="P80" s="71"/>
      <c r="Q80" s="72"/>
      <c r="R80" s="72"/>
      <c r="S80" s="72"/>
      <c r="T80" s="72"/>
      <c r="U80" s="72"/>
      <c r="V80" s="72"/>
      <c r="W80" s="72"/>
      <c r="X80" s="74"/>
      <c r="AH80" s="18"/>
    </row>
    <row r="81" spans="1:34" ht="15.75" thickBot="1">
      <c r="A81" s="2"/>
      <c r="B81" s="2"/>
      <c r="C81" s="2"/>
      <c r="D81" s="2"/>
      <c r="E81" s="2"/>
      <c r="F81" s="2"/>
      <c r="G81" s="2"/>
      <c r="H81" s="2"/>
      <c r="I81" s="2"/>
      <c r="J81" s="2"/>
      <c r="K81" s="94"/>
      <c r="L81" s="2"/>
      <c r="M81" s="2"/>
      <c r="N81" s="2"/>
      <c r="P81" s="2"/>
      <c r="Q81" s="2"/>
      <c r="R81" s="2"/>
      <c r="S81" s="2"/>
      <c r="T81" s="2"/>
      <c r="U81" s="2"/>
      <c r="V81" s="2"/>
      <c r="W81" s="2"/>
      <c r="X81" s="2"/>
      <c r="AH81" s="18"/>
    </row>
    <row r="82" spans="1:34" ht="15.75" thickBot="1">
      <c r="A82" s="383" t="s">
        <v>53</v>
      </c>
      <c r="B82" s="96"/>
      <c r="C82" s="96"/>
      <c r="D82" s="96"/>
      <c r="E82" s="96"/>
      <c r="F82" s="97"/>
      <c r="G82" s="96"/>
      <c r="H82" s="96"/>
      <c r="I82" s="96"/>
      <c r="J82" s="96"/>
      <c r="K82" s="96"/>
      <c r="L82" s="96"/>
      <c r="M82" s="96"/>
      <c r="N82" s="98"/>
      <c r="P82" s="2"/>
      <c r="Q82" s="2"/>
      <c r="R82" s="2"/>
      <c r="S82" s="2"/>
      <c r="T82" s="2"/>
      <c r="U82" s="2"/>
      <c r="V82" s="2"/>
      <c r="W82" s="2"/>
      <c r="X82" s="2"/>
      <c r="AH82" s="18"/>
    </row>
    <row r="83" spans="1:34">
      <c r="A83" s="62"/>
      <c r="B83" s="63"/>
      <c r="C83" s="63"/>
      <c r="D83" s="63"/>
      <c r="E83" s="63"/>
      <c r="F83" s="102" t="str">
        <f>IF(SelectScenario!G58="YES","Post purge is actived and required","Post purge is not actived and required")</f>
        <v>Post purge is not actived and required</v>
      </c>
      <c r="G83" s="64"/>
      <c r="H83" s="63"/>
      <c r="I83" s="63"/>
      <c r="J83" s="63"/>
      <c r="K83" s="199"/>
      <c r="L83" s="63"/>
      <c r="M83" s="63"/>
      <c r="N83" s="64"/>
      <c r="P83" s="2"/>
      <c r="Q83" s="2"/>
      <c r="R83" s="2"/>
      <c r="S83" s="2"/>
      <c r="T83" s="2"/>
      <c r="U83" s="2"/>
      <c r="V83" s="2"/>
      <c r="W83" s="2"/>
      <c r="X83" s="2"/>
      <c r="AH83" s="18"/>
    </row>
    <row r="84" spans="1:34">
      <c r="A84" s="65"/>
      <c r="B84" s="384"/>
      <c r="C84" s="384"/>
      <c r="D84" s="384"/>
      <c r="E84" s="384"/>
      <c r="F84" s="384"/>
      <c r="G84" s="79"/>
      <c r="H84" s="384"/>
      <c r="I84" s="384"/>
      <c r="J84" s="384"/>
      <c r="K84" s="385"/>
      <c r="L84" s="384"/>
      <c r="M84" s="384"/>
      <c r="N84" s="79"/>
      <c r="P84" s="2"/>
      <c r="Q84" s="2"/>
      <c r="R84" s="2"/>
      <c r="S84" s="2"/>
      <c r="T84" s="2"/>
      <c r="U84" s="2"/>
      <c r="V84" s="2"/>
      <c r="W84" s="2"/>
      <c r="X84" s="2"/>
      <c r="AH84" s="18"/>
    </row>
    <row r="85" spans="1:34">
      <c r="A85" s="125" t="s">
        <v>30</v>
      </c>
      <c r="B85" s="384"/>
      <c r="C85" s="384"/>
      <c r="D85" s="384"/>
      <c r="E85" s="384"/>
      <c r="F85" s="386" t="s">
        <v>199</v>
      </c>
      <c r="G85" s="79"/>
      <c r="H85" s="387" t="s">
        <v>30</v>
      </c>
      <c r="I85" s="388"/>
      <c r="J85" s="388"/>
      <c r="K85" s="388"/>
      <c r="L85" s="388"/>
      <c r="M85" s="389" t="s">
        <v>199</v>
      </c>
      <c r="N85" s="194"/>
      <c r="P85" s="2"/>
      <c r="Q85" s="2"/>
      <c r="R85" s="2"/>
      <c r="S85" s="2"/>
      <c r="T85" s="2"/>
      <c r="U85" s="2"/>
      <c r="V85" s="2"/>
      <c r="W85" s="2"/>
      <c r="X85" s="2"/>
      <c r="AH85" s="18"/>
    </row>
    <row r="86" spans="1:34">
      <c r="A86" s="191">
        <v>0</v>
      </c>
      <c r="B86" s="384" t="s">
        <v>117</v>
      </c>
      <c r="C86" s="384"/>
      <c r="D86" s="384"/>
      <c r="E86" s="390" t="str">
        <f>IF(AND($M$3="YES",A86&gt;3),"TF,OFF(tp/2) is required","TF,OFF(tp/2) is not required")</f>
        <v>TF,OFF(tp/2) is not required</v>
      </c>
      <c r="F86" s="197">
        <v>74.63</v>
      </c>
      <c r="G86" s="79" t="str">
        <f>IF(UNIT="SI-Unit","C-Degree","F-Degree")</f>
        <v>F-Degree</v>
      </c>
      <c r="H86" s="190">
        <v>0</v>
      </c>
      <c r="I86" s="388" t="s">
        <v>117</v>
      </c>
      <c r="J86" s="388"/>
      <c r="K86" s="388"/>
      <c r="L86" s="391" t="str">
        <f>IF(AND($M$3="YES",H86&gt;3),"TF,OFF(tp/2) is required","TF,OFF(tp/2) is not required")</f>
        <v>TF,OFF(tp/2) is not required</v>
      </c>
      <c r="M86" s="198">
        <v>74.63</v>
      </c>
      <c r="N86" s="194" t="str">
        <f>IF(UNIT="SI-Unit","C-Degree","F-Degree")</f>
        <v>F-Degree</v>
      </c>
      <c r="P86" s="2"/>
      <c r="Q86" s="2"/>
      <c r="R86" s="2"/>
      <c r="S86" s="2"/>
      <c r="T86" s="2"/>
      <c r="U86" s="2"/>
      <c r="V86" s="2"/>
      <c r="W86" s="2"/>
      <c r="X86" s="2"/>
      <c r="AH86" s="18"/>
    </row>
    <row r="87" spans="1:34">
      <c r="A87" s="125"/>
      <c r="B87" s="384"/>
      <c r="C87" s="384"/>
      <c r="D87" s="384"/>
      <c r="E87" s="390" t="str">
        <f>IF($M$3="YES","TF,OFF(tp) is required","TF,OFF(tp) is not required")</f>
        <v>TF,OFF(tp) is not required</v>
      </c>
      <c r="F87" s="197">
        <v>74.63</v>
      </c>
      <c r="G87" s="79" t="str">
        <f>IF(UNIT="SI-Unit","C-Degree","F-Degree")</f>
        <v>F-Degree</v>
      </c>
      <c r="H87" s="388"/>
      <c r="I87" s="388"/>
      <c r="J87" s="388"/>
      <c r="K87" s="388"/>
      <c r="L87" s="391" t="str">
        <f>IF($M$3="YES","TF,OFF(tp) is required","TF,OFF(tp) is not required")</f>
        <v>TF,OFF(tp) is not required</v>
      </c>
      <c r="M87" s="198">
        <v>74.63</v>
      </c>
      <c r="N87" s="194" t="str">
        <f>IF(UNIT="SI-Unit","C-Degree","F-Degree")</f>
        <v>F-Degree</v>
      </c>
      <c r="P87" s="2"/>
      <c r="Q87" s="2"/>
      <c r="R87" s="2"/>
      <c r="S87" s="2"/>
      <c r="T87" s="2"/>
      <c r="U87" s="2"/>
      <c r="V87" s="2"/>
      <c r="W87" s="2"/>
      <c r="X87" s="2"/>
      <c r="AH87" s="18"/>
    </row>
    <row r="88" spans="1:34">
      <c r="A88" s="125"/>
      <c r="B88" s="384"/>
      <c r="C88" s="384"/>
      <c r="D88" s="384"/>
      <c r="E88" s="390"/>
      <c r="F88" s="392"/>
      <c r="G88" s="79"/>
      <c r="H88" s="388"/>
      <c r="I88" s="388"/>
      <c r="J88" s="388"/>
      <c r="K88" s="388"/>
      <c r="L88" s="391"/>
      <c r="M88" s="393"/>
      <c r="N88" s="194"/>
      <c r="P88" s="2"/>
      <c r="Q88" s="2"/>
      <c r="R88" s="2"/>
      <c r="S88" s="2"/>
      <c r="T88" s="2"/>
      <c r="U88" s="2"/>
      <c r="V88" s="2"/>
      <c r="W88" s="2"/>
      <c r="X88" s="2"/>
      <c r="AH88" s="18"/>
    </row>
    <row r="89" spans="1:34" ht="16.5" thickBot="1">
      <c r="A89" s="71"/>
      <c r="B89" s="72"/>
      <c r="C89" s="72"/>
      <c r="D89" s="72"/>
      <c r="E89" s="72"/>
      <c r="F89" s="200"/>
      <c r="G89" s="74"/>
      <c r="H89" s="201"/>
      <c r="I89" s="201"/>
      <c r="J89" s="201"/>
      <c r="K89" s="201"/>
      <c r="L89" s="201"/>
      <c r="M89" s="201"/>
      <c r="N89" s="202"/>
      <c r="P89" s="2"/>
      <c r="Q89" s="2"/>
      <c r="R89" s="2"/>
      <c r="S89" s="2"/>
      <c r="T89" s="2"/>
      <c r="U89" s="2"/>
      <c r="V89" s="2"/>
      <c r="W89" s="2"/>
      <c r="X89" s="2"/>
      <c r="AH89" s="18"/>
    </row>
    <row r="90" spans="1:34" ht="15.75" thickBo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P90" s="2"/>
      <c r="Q90" s="2"/>
      <c r="R90" s="2"/>
      <c r="S90" s="2"/>
      <c r="T90" s="2"/>
      <c r="U90" s="2"/>
      <c r="V90" s="2"/>
      <c r="W90" s="2"/>
      <c r="X90" s="2"/>
      <c r="AH90" s="18"/>
    </row>
    <row r="91" spans="1:34" ht="16.5" thickBot="1">
      <c r="A91" s="99" t="s">
        <v>26</v>
      </c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1"/>
      <c r="P91" s="2"/>
      <c r="Q91" s="2"/>
      <c r="R91" s="2"/>
      <c r="S91" s="2"/>
      <c r="T91" s="2"/>
      <c r="U91" s="2"/>
      <c r="V91" s="2"/>
      <c r="W91" s="2"/>
      <c r="X91" s="2"/>
      <c r="AH91" s="18"/>
    </row>
    <row r="92" spans="1:34">
      <c r="A92" s="62"/>
      <c r="B92" s="63"/>
      <c r="C92" s="63"/>
      <c r="D92" s="63"/>
      <c r="E92" s="63"/>
      <c r="F92" s="102" t="s">
        <v>60</v>
      </c>
      <c r="G92" s="63"/>
      <c r="H92" s="62"/>
      <c r="I92" s="63"/>
      <c r="J92" s="63"/>
      <c r="K92" s="63"/>
      <c r="L92" s="63"/>
      <c r="M92" s="103" t="s">
        <v>58</v>
      </c>
      <c r="N92" s="64"/>
      <c r="P92" s="2"/>
      <c r="Q92" s="2"/>
      <c r="R92" s="2"/>
      <c r="S92" s="2"/>
      <c r="T92" s="2"/>
      <c r="U92" s="2"/>
      <c r="V92" s="2"/>
      <c r="W92" s="2"/>
      <c r="X92" s="2"/>
      <c r="AH92" s="18"/>
    </row>
    <row r="93" spans="1:34">
      <c r="A93" s="65"/>
      <c r="B93" s="2"/>
      <c r="C93" s="2"/>
      <c r="D93" s="2"/>
      <c r="E93" s="2"/>
      <c r="F93" s="77" t="str">
        <f>IF(SelectScenario!$G$6="Non-Modulating","(The maximum parameters are required@"&amp;SelectScenario!$G$6&amp;")",IF(SelectScenario!$G$6="Step-Modulating","(The maximum parameters are not required@"&amp;SelectScenario!$G$6&amp;")","(The maximum parameters are required@"&amp;SelectScenario!$G$6&amp;")"))</f>
        <v>(The maximum parameters are not required@Step-Modulating)</v>
      </c>
      <c r="G93" s="2"/>
      <c r="H93" s="65"/>
      <c r="I93" s="2"/>
      <c r="J93" s="2"/>
      <c r="K93" s="2"/>
      <c r="L93" s="2"/>
      <c r="M93" s="84" t="str">
        <f>IF(SelectScenario!$G$6="Non-Modulating","(The reduced parameters are not required@"&amp;SelectScenario!$G$6&amp;")",IF(SelectScenario!$G$6="Step-Modulating","The reduced parameters are required@"&amp;SelectScenario!$G$6&amp;")","(The reduced parameters are required@"&amp;SelectScenario!$G$6&amp;")"))</f>
        <v>The reduced parameters are required@Step-Modulating)</v>
      </c>
      <c r="N93" s="79"/>
      <c r="P93" s="2"/>
      <c r="Q93" s="2"/>
      <c r="R93" s="2"/>
      <c r="S93" s="2"/>
      <c r="T93" s="2"/>
      <c r="U93" s="2"/>
      <c r="V93" s="2"/>
      <c r="W93" s="2"/>
      <c r="X93" s="2"/>
      <c r="AH93" s="18"/>
    </row>
    <row r="94" spans="1:34">
      <c r="A94" s="65"/>
      <c r="B94" s="2"/>
      <c r="C94" s="2"/>
      <c r="D94" s="2"/>
      <c r="E94" s="2"/>
      <c r="G94" s="2"/>
      <c r="H94" s="65"/>
      <c r="I94" s="2"/>
      <c r="J94" s="2"/>
      <c r="K94" s="2"/>
      <c r="L94" s="2"/>
      <c r="M94" s="2"/>
      <c r="N94" s="79"/>
      <c r="AH94" s="18"/>
    </row>
    <row r="95" spans="1:34">
      <c r="A95" s="65"/>
      <c r="B95" s="2"/>
      <c r="C95" s="2"/>
      <c r="D95" s="2"/>
      <c r="E95" s="2"/>
      <c r="F95" s="77" t="s">
        <v>61</v>
      </c>
      <c r="H95" s="65"/>
      <c r="I95" s="2"/>
      <c r="J95" s="2"/>
      <c r="K95" s="2"/>
      <c r="L95" s="2"/>
      <c r="M95" s="78" t="s">
        <v>61</v>
      </c>
      <c r="N95" s="79"/>
      <c r="AH95" s="18"/>
    </row>
    <row r="96" spans="1:34">
      <c r="A96" s="126" t="s">
        <v>120</v>
      </c>
      <c r="B96" s="2"/>
      <c r="C96" s="2"/>
      <c r="D96" s="2"/>
      <c r="E96" s="81"/>
      <c r="F96" s="14">
        <v>87.13</v>
      </c>
      <c r="G96" s="2"/>
      <c r="H96" s="127" t="s">
        <v>120</v>
      </c>
      <c r="I96" s="82"/>
      <c r="J96" s="2"/>
      <c r="K96" s="2"/>
      <c r="L96" s="81"/>
      <c r="M96" s="14">
        <v>82.86</v>
      </c>
      <c r="N96" s="79"/>
      <c r="AH96" s="18"/>
    </row>
    <row r="97" spans="1:34">
      <c r="A97" s="110">
        <v>0.5</v>
      </c>
      <c r="B97" t="s">
        <v>117</v>
      </c>
      <c r="C97" s="2"/>
      <c r="D97" s="2"/>
      <c r="E97" s="81" t="str">
        <f>"Note: t1=0.5min after a burner comes on"</f>
        <v>Note: t1=0.5min after a burner comes on</v>
      </c>
      <c r="F97" s="61">
        <f>IF(F96&gt;F33,F33-0.2*IF(UNIT="SI-Uunit",1,1.8),IF(F96&gt;F101, F100-0.1*IF(UNIT="SI-Uunit",1,1.8),F96))</f>
        <v>87.13</v>
      </c>
      <c r="G97" s="2" t="str">
        <f>IF(UNIT="SI-Unit","C-Degree","F-Degree")</f>
        <v>F-Degree</v>
      </c>
      <c r="H97" s="128">
        <v>0.5</v>
      </c>
      <c r="I97" s="5" t="s">
        <v>117</v>
      </c>
      <c r="J97" s="2"/>
      <c r="K97" s="2"/>
      <c r="L97" s="78" t="str">
        <f>"Note: t1=0.5min after a burner comes on"</f>
        <v>Note: t1=0.5min after a burner comes on</v>
      </c>
      <c r="M97" s="61">
        <f>IF(M96&gt;M33,M33-0.2*IF(UNIT="SI-Uunit",1,1.8),IF(M96&gt;M101, M100-0.1*IF(UNIT="SI-Uunit",1,1.8),M96))</f>
        <v>82.86</v>
      </c>
      <c r="N97" s="79" t="str">
        <f>IF(UNIT="SI-Unit","C-Degree","F-Degree")</f>
        <v>F-Degree</v>
      </c>
      <c r="AH97" s="18"/>
    </row>
    <row r="98" spans="1:34">
      <c r="A98" s="125"/>
      <c r="B98" s="2"/>
      <c r="C98" s="2"/>
      <c r="D98" s="2"/>
      <c r="E98" s="2"/>
      <c r="F98" s="2"/>
      <c r="G98" s="2"/>
      <c r="H98" s="127"/>
      <c r="I98" s="82"/>
      <c r="J98" s="2"/>
      <c r="K98" s="2"/>
      <c r="L98" s="2"/>
      <c r="M98" s="2"/>
      <c r="N98" s="79"/>
      <c r="AH98" s="18"/>
    </row>
    <row r="99" spans="1:34">
      <c r="A99" s="126" t="s">
        <v>121</v>
      </c>
      <c r="B99" s="2"/>
      <c r="C99" s="2"/>
      <c r="D99" s="2"/>
      <c r="E99" s="2"/>
      <c r="F99" s="77" t="s">
        <v>62</v>
      </c>
      <c r="G99" s="2"/>
      <c r="H99" s="127" t="s">
        <v>121</v>
      </c>
      <c r="I99" s="82"/>
      <c r="J99" s="2"/>
      <c r="K99" s="2"/>
      <c r="L99" s="2"/>
      <c r="M99" s="78" t="s">
        <v>62</v>
      </c>
      <c r="N99" s="79"/>
      <c r="AH99" s="18"/>
    </row>
    <row r="100" spans="1:34">
      <c r="A100" s="110">
        <f>2.5</f>
        <v>2.5</v>
      </c>
      <c r="B100" s="2" t="s">
        <v>117</v>
      </c>
      <c r="C100" s="2"/>
      <c r="D100" s="2"/>
      <c r="E100" s="81"/>
      <c r="F100" s="14">
        <v>89.01</v>
      </c>
      <c r="G100" s="2"/>
      <c r="H100" s="128">
        <f>2.5</f>
        <v>2.5</v>
      </c>
      <c r="I100" s="82" t="s">
        <v>117</v>
      </c>
      <c r="J100" s="2"/>
      <c r="K100" s="2"/>
      <c r="L100" s="81"/>
      <c r="M100" s="14">
        <v>86.38</v>
      </c>
      <c r="N100" s="79"/>
      <c r="AH100" s="18"/>
    </row>
    <row r="101" spans="1:34">
      <c r="A101" s="65"/>
      <c r="B101" s="2"/>
      <c r="C101" s="2"/>
      <c r="D101" s="2"/>
      <c r="E101" s="81" t="str">
        <f>"Note: t2=2.5min after a burner comes on"</f>
        <v>Note: t2=2.5min after a burner comes on</v>
      </c>
      <c r="F101" s="61">
        <f>IF(F100&gt;F33,F33-0.1*IF(UNIT="SI-Uunit",1,1.8),F100)</f>
        <v>89.01</v>
      </c>
      <c r="G101" s="2" t="str">
        <f>IF(UNIT="SI-Unit","C-Degree","F-Degree")</f>
        <v>F-Degree</v>
      </c>
      <c r="H101" s="65"/>
      <c r="I101" s="2"/>
      <c r="J101" s="2"/>
      <c r="K101" s="2"/>
      <c r="L101" s="78" t="str">
        <f>"Note: t2=2.5min after a burner comes on"</f>
        <v>Note: t2=2.5min after a burner comes on</v>
      </c>
      <c r="M101" s="61">
        <f>IF(M100&gt;M33,M33-0.1*IF(UNIT="SI-Uunit",1,1.8),M100)</f>
        <v>86.38</v>
      </c>
      <c r="N101" s="79" t="str">
        <f>IF(UNIT="SI-Unit","C-Degree","F-Degree")</f>
        <v>F-Degree</v>
      </c>
      <c r="AH101" s="18"/>
    </row>
    <row r="102" spans="1:34" ht="15.75" thickBot="1">
      <c r="A102" s="71"/>
      <c r="B102" s="72"/>
      <c r="C102" s="72"/>
      <c r="D102" s="72"/>
      <c r="E102" s="72"/>
      <c r="F102" s="73"/>
      <c r="G102" s="72"/>
      <c r="H102" s="71"/>
      <c r="I102" s="72"/>
      <c r="J102" s="72"/>
      <c r="K102" s="72"/>
      <c r="L102" s="72"/>
      <c r="M102" s="72"/>
      <c r="N102" s="74"/>
      <c r="AH102" s="18"/>
    </row>
    <row r="103" spans="1:34" ht="15.75" thickBo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AH103" s="18"/>
    </row>
    <row r="104" spans="1:34" ht="15.75" thickBot="1">
      <c r="A104" s="139" t="s">
        <v>239</v>
      </c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75"/>
      <c r="AH104" s="18"/>
    </row>
    <row r="105" spans="1:34">
      <c r="A105" s="62"/>
      <c r="B105" s="63"/>
      <c r="C105" s="75"/>
      <c r="D105" s="63"/>
      <c r="E105" s="63"/>
      <c r="F105" s="253" t="s">
        <v>238</v>
      </c>
      <c r="G105" s="64"/>
      <c r="H105" s="62"/>
      <c r="I105" s="63"/>
      <c r="J105" s="63"/>
      <c r="K105" s="251"/>
      <c r="L105" s="63"/>
      <c r="M105" s="253" t="s">
        <v>340</v>
      </c>
      <c r="N105" s="252"/>
      <c r="AH105" s="18"/>
    </row>
    <row r="106" spans="1:34">
      <c r="A106" s="65"/>
      <c r="B106" s="2"/>
      <c r="C106" s="2"/>
      <c r="D106" s="2"/>
      <c r="E106" s="11" t="s">
        <v>16</v>
      </c>
      <c r="F106" s="14">
        <f>0.983</f>
        <v>0.98299999999999998</v>
      </c>
      <c r="G106" s="131" t="str">
        <f>IF(UNIT="SI-Unit","KG","LB")</f>
        <v>LB</v>
      </c>
      <c r="H106" s="65"/>
      <c r="I106" s="2"/>
      <c r="J106" s="2"/>
      <c r="K106" s="2"/>
      <c r="L106" s="80" t="s">
        <v>16</v>
      </c>
      <c r="M106" s="281">
        <f>M24/20120/2</f>
        <v>0.73312624254473158</v>
      </c>
      <c r="N106" s="131" t="str">
        <f>IF(UNIT="SI-Unit","KG","LB")</f>
        <v>LB</v>
      </c>
      <c r="AH106" s="18"/>
    </row>
    <row r="107" spans="1:34">
      <c r="A107" s="65"/>
      <c r="B107" s="2"/>
      <c r="C107" s="2"/>
      <c r="D107" s="2"/>
      <c r="E107" s="11" t="s">
        <v>15</v>
      </c>
      <c r="F107" s="61">
        <f>F106</f>
        <v>0.98299999999999998</v>
      </c>
      <c r="G107" s="131" t="str">
        <f>IF(UNIT="SI-Unit","KG","LB")</f>
        <v>LB</v>
      </c>
      <c r="H107" s="65"/>
      <c r="I107" s="2"/>
      <c r="J107" s="2"/>
      <c r="K107" s="2"/>
      <c r="L107" s="80" t="s">
        <v>15</v>
      </c>
      <c r="M107" s="282">
        <f>IF(SelectScenario!$G$6="Non-Modulating",0,M106)</f>
        <v>0.73312624254473158</v>
      </c>
      <c r="N107" s="131" t="str">
        <f>IF(UNIT="SI-Unit","KG","LB")</f>
        <v>LB</v>
      </c>
      <c r="AH107" s="18"/>
    </row>
    <row r="108" spans="1:34">
      <c r="A108" s="65"/>
      <c r="B108" s="2"/>
      <c r="C108" s="2"/>
      <c r="D108" s="2"/>
      <c r="E108" s="2"/>
      <c r="F108" s="81"/>
      <c r="G108" s="131"/>
      <c r="H108" s="65"/>
      <c r="I108" s="2"/>
      <c r="J108" s="2"/>
      <c r="K108" s="2"/>
      <c r="L108" s="82"/>
      <c r="M108" s="2"/>
      <c r="N108" s="131"/>
      <c r="AH108" s="18"/>
    </row>
    <row r="109" spans="1:34">
      <c r="A109" s="65"/>
      <c r="B109" s="2"/>
      <c r="C109" s="2"/>
      <c r="D109" s="2"/>
      <c r="E109" s="2"/>
      <c r="F109" s="77" t="s">
        <v>237</v>
      </c>
      <c r="G109" s="131"/>
      <c r="H109" s="65"/>
      <c r="I109" s="2"/>
      <c r="J109" s="2"/>
      <c r="K109" s="2"/>
      <c r="L109" s="2"/>
      <c r="M109" s="77" t="s">
        <v>341</v>
      </c>
      <c r="N109" s="132"/>
      <c r="AH109" s="18"/>
    </row>
    <row r="110" spans="1:34">
      <c r="A110" s="65"/>
      <c r="B110" s="2"/>
      <c r="C110" s="2"/>
      <c r="D110" s="2"/>
      <c r="E110" s="11" t="s">
        <v>16</v>
      </c>
      <c r="F110" s="14">
        <f>F49/2</f>
        <v>1.3685</v>
      </c>
      <c r="G110" s="131" t="str">
        <f>IF(UNIT="SI-Unit","KG","LB")</f>
        <v>LB</v>
      </c>
      <c r="H110" s="65"/>
      <c r="I110" s="2"/>
      <c r="J110" s="2"/>
      <c r="K110" s="2"/>
      <c r="L110" s="80" t="s">
        <v>16</v>
      </c>
      <c r="M110" s="14">
        <f>M49/2</f>
        <v>1.083</v>
      </c>
      <c r="N110" s="131" t="str">
        <f>IF(UNIT="SI-Unit","KG","LB")</f>
        <v>LB</v>
      </c>
      <c r="AH110" s="18"/>
    </row>
    <row r="111" spans="1:34">
      <c r="A111" s="65"/>
      <c r="B111" s="2"/>
      <c r="C111" s="2"/>
      <c r="D111" s="2"/>
      <c r="E111" s="11" t="s">
        <v>15</v>
      </c>
      <c r="F111" s="61">
        <f>IF(SelectScenario!$G$4="Condensing",F110,0)</f>
        <v>1.3685</v>
      </c>
      <c r="G111" s="131" t="str">
        <f>IF(UNIT="SI-Unit","KG","LB")</f>
        <v>LB</v>
      </c>
      <c r="H111" s="65"/>
      <c r="I111" s="2"/>
      <c r="J111" s="2"/>
      <c r="K111" s="2"/>
      <c r="L111" s="80" t="s">
        <v>15</v>
      </c>
      <c r="M111" s="61">
        <f>IF(SelectScenario!$G$6="Non-Modulating",0,M110)</f>
        <v>1.083</v>
      </c>
      <c r="N111" s="131" t="str">
        <f>IF(UNIT="SI-Unit","KG","LB")</f>
        <v>LB</v>
      </c>
      <c r="Q111" s="80"/>
      <c r="AH111" s="18"/>
    </row>
    <row r="112" spans="1:34">
      <c r="A112" s="65"/>
      <c r="B112" s="2"/>
      <c r="C112" s="2"/>
      <c r="H112" s="65"/>
      <c r="I112" s="2"/>
      <c r="J112" s="2"/>
      <c r="K112" s="2"/>
      <c r="N112" s="369"/>
      <c r="AH112" s="18"/>
    </row>
    <row r="113" spans="1:34">
      <c r="A113" s="65"/>
      <c r="B113" s="2"/>
      <c r="C113" s="2"/>
      <c r="D113" s="2"/>
      <c r="E113" s="2"/>
      <c r="F113" s="77" t="s">
        <v>249</v>
      </c>
      <c r="G113" s="79"/>
      <c r="H113" s="65"/>
      <c r="I113" s="2"/>
      <c r="J113" s="2"/>
      <c r="K113" s="2"/>
      <c r="L113" s="2"/>
      <c r="M113" s="77" t="s">
        <v>250</v>
      </c>
      <c r="N113" s="79"/>
      <c r="AH113" s="18"/>
    </row>
    <row r="114" spans="1:34">
      <c r="A114" s="65"/>
      <c r="B114" s="2"/>
      <c r="C114" s="2"/>
      <c r="D114" s="2"/>
      <c r="E114" s="2"/>
      <c r="F114" s="56" t="str">
        <f>IF(SelectScenario!$G$6="Non-Modulating","(Note Measured condensate is not required@"&amp;SelectScenario!$G$6&amp;")",IF(SelectScenario!$G$6="Step-Modulating","Note Measured condensate is  required@"&amp;SelectScenario!$G$6&amp;")",IF(AND(SelectScenario!$G$6="2Stage-Modulating",IF(UNIT="SI-Unit",AFUEAcm!S30&lt;-5,AFUEAcm!S30&lt;5)),"(Note Measured condensate is not required@"&amp;SelectScenario!$G$6&amp;")","(Note Measured condensate is required@"&amp;SelectScenario!$G$6&amp;")")))</f>
        <v>Note Measured condensate is  required@Step-Modulating)</v>
      </c>
      <c r="G114" s="79"/>
      <c r="H114" s="65"/>
      <c r="I114" s="2"/>
      <c r="J114" s="2"/>
      <c r="K114" s="2"/>
      <c r="L114" s="2"/>
      <c r="M114" s="370" t="str">
        <f>IF(SelectScenario!$G$6="Non-Modulating","(Note: Measured condensate is not required@"&amp;SelectScenario!$G$6&amp;")",IF(SelectScenario!$G$6="Step-Modulating","Note: Measured condensate is required@"&amp;SelectScenario!$G$6&amp;")","(Note: Measured condensate is required@"&amp;SelectScenario!$G$6&amp;")"))</f>
        <v>Note: Measured condensate is required@Step-Modulating)</v>
      </c>
      <c r="N114" s="85"/>
      <c r="AH114" s="18"/>
    </row>
    <row r="115" spans="1:34">
      <c r="A115" s="65"/>
      <c r="B115" s="2"/>
      <c r="C115" s="2"/>
      <c r="D115" s="2"/>
      <c r="E115" s="11" t="s">
        <v>16</v>
      </c>
      <c r="F115" s="14">
        <f>0.565</f>
        <v>0.56499999999999995</v>
      </c>
      <c r="G115" s="131" t="str">
        <f>IF(UNIT="SI-Unit","KG","LB")</f>
        <v>LB</v>
      </c>
      <c r="H115" s="65"/>
      <c r="I115" s="2"/>
      <c r="J115" s="2"/>
      <c r="K115" s="2"/>
      <c r="L115" s="80" t="s">
        <v>16</v>
      </c>
      <c r="M115" s="14">
        <f>F115</f>
        <v>0.56499999999999995</v>
      </c>
      <c r="N115" s="131" t="str">
        <f>IF(UNIT="SI-Unit","KG","LB")</f>
        <v>LB</v>
      </c>
      <c r="AH115" s="18"/>
    </row>
    <row r="116" spans="1:34">
      <c r="A116" s="65"/>
      <c r="B116" s="2"/>
      <c r="C116" s="2"/>
      <c r="D116" s="2"/>
      <c r="E116" s="11" t="s">
        <v>15</v>
      </c>
      <c r="F116" s="61">
        <f>F115</f>
        <v>0.56499999999999995</v>
      </c>
      <c r="G116" s="131" t="str">
        <f>IF(UNIT="SI-Unit","KG","LB")</f>
        <v>LB</v>
      </c>
      <c r="H116" s="65"/>
      <c r="I116" s="2"/>
      <c r="J116" s="2"/>
      <c r="K116" s="2"/>
      <c r="L116" s="80" t="s">
        <v>15</v>
      </c>
      <c r="M116" s="61">
        <f>IF(SelectScenario!$G$6="Non-Modulating",0,M115)</f>
        <v>0.56499999999999995</v>
      </c>
      <c r="N116" s="131" t="str">
        <f>IF(UNIT="SI-Unit","KG","LB")</f>
        <v>LB</v>
      </c>
      <c r="AH116" s="18"/>
    </row>
    <row r="117" spans="1:34">
      <c r="A117" s="65"/>
      <c r="B117" s="2"/>
      <c r="C117" s="8"/>
      <c r="D117" s="2"/>
      <c r="E117" s="2"/>
      <c r="F117" s="81"/>
      <c r="G117" s="131"/>
      <c r="H117" s="65"/>
      <c r="I117" s="2"/>
      <c r="J117" s="2"/>
      <c r="K117" s="2"/>
      <c r="L117" s="82"/>
      <c r="M117" s="2"/>
      <c r="N117" s="131"/>
      <c r="AH117" s="18"/>
    </row>
    <row r="118" spans="1:34">
      <c r="A118" s="65"/>
      <c r="B118" s="2"/>
      <c r="C118" s="2"/>
      <c r="D118" s="2"/>
      <c r="E118" s="2"/>
      <c r="F118" s="77" t="s">
        <v>248</v>
      </c>
      <c r="G118" s="131"/>
      <c r="H118" s="65"/>
      <c r="I118" s="2"/>
      <c r="J118" s="2"/>
      <c r="K118" s="2"/>
      <c r="L118" s="2"/>
      <c r="M118" s="77" t="s">
        <v>251</v>
      </c>
      <c r="N118" s="132"/>
      <c r="AH118" s="18"/>
    </row>
    <row r="119" spans="1:34">
      <c r="A119" s="65"/>
      <c r="B119" s="2"/>
      <c r="C119" s="2"/>
      <c r="D119" s="2"/>
      <c r="E119" s="2"/>
      <c r="F119" s="56" t="str">
        <f>IF(SelectScenario!$G$6="Non-Modulating","(Note Measured condensate is not required@"&amp;SelectScenario!$G$6&amp;")",IF(SelectScenario!$G$6="Step-Modulating","Note Measured condensate is  required@"&amp;SelectScenario!$G$6&amp;")",IF(AND(SelectScenario!$G$6="2Stage-Modulating",IF(UNIT="SI-Unit",AFUEAcm!S35&lt;-5,AFUEAcm!S35&lt;5)),"(Note Measured condensate is not required@"&amp;SelectScenario!$G$6&amp;")","(Note Measured condensate is required@"&amp;SelectScenario!$G$6&amp;")")))</f>
        <v>Note Measured condensate is  required@Step-Modulating)</v>
      </c>
      <c r="G119" s="131"/>
      <c r="H119" s="65"/>
      <c r="I119" s="2"/>
      <c r="J119" s="2"/>
      <c r="K119" s="2"/>
      <c r="L119" s="2"/>
      <c r="M119" s="370" t="str">
        <f>IF(SelectScenario!$G$6="Non-Modulating","(Note: Measured condensate is not required@"&amp;SelectScenario!$G$6&amp;")",IF(SelectScenario!$G$6="Step-Modulating","Note: Measured condensate is required@"&amp;SelectScenario!$G$6&amp;")","(Note: Measured condensate is required@"&amp;SelectScenario!$G$6&amp;")"))</f>
        <v>Note: Measured condensate is required@Step-Modulating)</v>
      </c>
      <c r="N119" s="132"/>
      <c r="AH119" s="18"/>
    </row>
    <row r="120" spans="1:34">
      <c r="A120" s="65"/>
      <c r="B120" s="8"/>
      <c r="C120" s="8"/>
      <c r="D120" s="2"/>
      <c r="E120" s="11" t="s">
        <v>16</v>
      </c>
      <c r="F120" s="14">
        <f>0.757</f>
        <v>0.75700000000000001</v>
      </c>
      <c r="G120" s="131" t="str">
        <f>IF(UNIT="SI-Unit","KG","LB")</f>
        <v>LB</v>
      </c>
      <c r="H120" s="65"/>
      <c r="I120" s="8"/>
      <c r="J120" s="8"/>
      <c r="K120" s="2"/>
      <c r="L120" s="80" t="s">
        <v>16</v>
      </c>
      <c r="M120" s="14">
        <f>F120</f>
        <v>0.75700000000000001</v>
      </c>
      <c r="N120" s="131" t="str">
        <f>IF(UNIT="SI-Unit","KG","LB")</f>
        <v>LB</v>
      </c>
      <c r="AH120" s="18"/>
    </row>
    <row r="121" spans="1:34">
      <c r="A121" s="65"/>
      <c r="B121" s="8"/>
      <c r="C121" s="8"/>
      <c r="D121" s="2"/>
      <c r="E121" s="11" t="s">
        <v>15</v>
      </c>
      <c r="F121" s="61">
        <f>IF(SelectScenario!$G$4="Condensing",F120,0)</f>
        <v>0.75700000000000001</v>
      </c>
      <c r="G121" s="131" t="str">
        <f>IF(UNIT="SI-Unit","KG","LB")</f>
        <v>LB</v>
      </c>
      <c r="H121" s="65"/>
      <c r="I121" s="8"/>
      <c r="J121" s="8"/>
      <c r="K121" s="2"/>
      <c r="L121" s="80" t="s">
        <v>15</v>
      </c>
      <c r="M121" s="61">
        <f>IF(SelectScenario!$G$6="Non-Modulating",0,M120)</f>
        <v>0.75700000000000001</v>
      </c>
      <c r="N121" s="131" t="str">
        <f>IF(UNIT="SI-Unit","KG","LB")</f>
        <v>LB</v>
      </c>
      <c r="AH121" s="18"/>
    </row>
    <row r="122" spans="1:34" ht="15.75" thickBot="1">
      <c r="A122" s="71"/>
      <c r="B122" s="72"/>
      <c r="C122" s="72"/>
      <c r="D122" s="72"/>
      <c r="E122" s="72"/>
      <c r="F122" s="72"/>
      <c r="G122" s="74"/>
      <c r="H122" s="71"/>
      <c r="I122" s="72"/>
      <c r="J122" s="72"/>
      <c r="K122" s="72"/>
      <c r="L122" s="72"/>
      <c r="M122" s="72"/>
      <c r="N122" s="74"/>
      <c r="AH122" s="18"/>
    </row>
    <row r="123" spans="1:34">
      <c r="AH123" s="18"/>
    </row>
    <row r="124" spans="1:34">
      <c r="AH124" s="18"/>
    </row>
    <row r="125" spans="1:34">
      <c r="AH125" s="18"/>
    </row>
    <row r="126" spans="1:34">
      <c r="AH126" s="18"/>
    </row>
    <row r="127" spans="1:34">
      <c r="AH127" s="18"/>
    </row>
    <row r="128" spans="1:34">
      <c r="AH128" s="18"/>
    </row>
    <row r="129" spans="34:34">
      <c r="AH129" s="18"/>
    </row>
    <row r="130" spans="34:34">
      <c r="AH130" s="18"/>
    </row>
    <row r="131" spans="34:34">
      <c r="AH131" s="18"/>
    </row>
    <row r="132" spans="34:34">
      <c r="AH132" s="18"/>
    </row>
    <row r="133" spans="34:34">
      <c r="AH133" s="18"/>
    </row>
    <row r="134" spans="34:34">
      <c r="AH134" s="18"/>
    </row>
    <row r="135" spans="34:34">
      <c r="AH135" s="18"/>
    </row>
    <row r="136" spans="34:34">
      <c r="AH136" s="18"/>
    </row>
    <row r="137" spans="34:34">
      <c r="AH137" s="18"/>
    </row>
    <row r="138" spans="34:34">
      <c r="AH138" s="18"/>
    </row>
    <row r="139" spans="34:34">
      <c r="AH139" s="18"/>
    </row>
    <row r="140" spans="34:34">
      <c r="AH140" s="18"/>
    </row>
    <row r="141" spans="34:34">
      <c r="AH141" s="18"/>
    </row>
    <row r="142" spans="34:34">
      <c r="AH142" s="18"/>
    </row>
    <row r="143" spans="34:34">
      <c r="AH143" s="18"/>
    </row>
    <row r="144" spans="34:34">
      <c r="AH144" s="18"/>
    </row>
    <row r="145" spans="34:34">
      <c r="AH145" s="18"/>
    </row>
    <row r="146" spans="34:34">
      <c r="AH146" s="18"/>
    </row>
    <row r="147" spans="34:34">
      <c r="AH147" s="18"/>
    </row>
    <row r="148" spans="34:34">
      <c r="AH148" s="18"/>
    </row>
    <row r="149" spans="34:34">
      <c r="AH149" s="18"/>
    </row>
    <row r="150" spans="34:34">
      <c r="AH150" s="18"/>
    </row>
    <row r="151" spans="34:34">
      <c r="AH151" s="18"/>
    </row>
    <row r="152" spans="34:34">
      <c r="AH152" s="18"/>
    </row>
    <row r="153" spans="34:34">
      <c r="AH153" s="18"/>
    </row>
    <row r="154" spans="34:34">
      <c r="AH154" s="18"/>
    </row>
    <row r="155" spans="34:34">
      <c r="AH155" s="18"/>
    </row>
    <row r="156" spans="34:34">
      <c r="AH156" s="18"/>
    </row>
    <row r="157" spans="34:34">
      <c r="AH157" s="18"/>
    </row>
    <row r="158" spans="34:34">
      <c r="AH158" s="18"/>
    </row>
    <row r="159" spans="34:34">
      <c r="AH159" s="18"/>
    </row>
    <row r="160" spans="34:34">
      <c r="AH160" s="18"/>
    </row>
    <row r="161" spans="34:34">
      <c r="AH161" s="18"/>
    </row>
    <row r="162" spans="34:34">
      <c r="AH162" s="18"/>
    </row>
    <row r="163" spans="34:34">
      <c r="AH163" s="18"/>
    </row>
    <row r="164" spans="34:34">
      <c r="AH164" s="18"/>
    </row>
    <row r="165" spans="34:34">
      <c r="AH165" s="18"/>
    </row>
    <row r="166" spans="34:34">
      <c r="AH166" s="18"/>
    </row>
    <row r="167" spans="34:34">
      <c r="AH167" s="18"/>
    </row>
    <row r="168" spans="34:34">
      <c r="AH168" s="18"/>
    </row>
    <row r="169" spans="34:34">
      <c r="AH169" s="18"/>
    </row>
    <row r="170" spans="34:34">
      <c r="AH170" s="18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019C10-DD52-4FF7-8BF3-8C4F30251AA5}">
          <x14:formula1>
            <xm:f>Others!$A$14:$A$17</xm:f>
          </x14:formula1>
          <xm:sqref>S75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55EF-4A1A-49CF-8D9D-E51FCE1AA671}">
  <sheetPr codeName="Sheet13">
    <tabColor theme="9" tint="0.39997558519241921"/>
  </sheetPr>
  <dimension ref="A1:Y110"/>
  <sheetViews>
    <sheetView topLeftCell="A6" zoomScale="90" zoomScaleNormal="90" workbookViewId="0">
      <selection activeCell="O17" sqref="O17"/>
    </sheetView>
  </sheetViews>
  <sheetFormatPr defaultRowHeight="12"/>
  <cols>
    <col min="1" max="1" width="13.28515625" style="106" customWidth="1"/>
    <col min="2" max="7" width="9.140625" style="106"/>
    <col min="8" max="8" width="9.140625" style="106" customWidth="1"/>
    <col min="9" max="10" width="10.85546875" style="106" bestFit="1" customWidth="1"/>
    <col min="11" max="12" width="9.140625" style="106"/>
    <col min="13" max="13" width="11.5703125" style="106" bestFit="1" customWidth="1"/>
    <col min="14" max="22" width="9.140625" style="106"/>
    <col min="23" max="23" width="9.5703125" style="106" bestFit="1" customWidth="1"/>
    <col min="24" max="16384" width="9.140625" style="106"/>
  </cols>
  <sheetData>
    <row r="1" spans="1:21" ht="12.75" thickBot="1">
      <c r="A1" s="231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3"/>
    </row>
    <row r="2" spans="1:21" ht="12.75" thickBot="1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7"/>
    </row>
    <row r="3" spans="1:21">
      <c r="A3" s="155"/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7"/>
      <c r="Q3" s="15"/>
      <c r="R3" s="15"/>
      <c r="S3" s="15"/>
      <c r="T3" s="15"/>
      <c r="U3" s="131"/>
    </row>
    <row r="4" spans="1:21">
      <c r="A4" s="158"/>
      <c r="B4" s="15"/>
      <c r="C4" s="15"/>
      <c r="D4" s="15"/>
      <c r="E4" s="159" t="str">
        <f>SelectScenario!F7</f>
        <v xml:space="preserve">Selected Unit: </v>
      </c>
      <c r="F4" s="160" t="str">
        <f>SelectScenario!G7</f>
        <v>Condensing, Step-ModulatingNG Furnace</v>
      </c>
      <c r="H4" s="160"/>
      <c r="I4" s="160"/>
      <c r="J4" s="160"/>
      <c r="K4" s="160"/>
      <c r="L4" s="160" t="s">
        <v>55</v>
      </c>
      <c r="M4" s="160"/>
      <c r="N4" s="160"/>
      <c r="O4" s="15"/>
      <c r="P4" s="131"/>
      <c r="Q4" s="15"/>
      <c r="R4" s="15"/>
      <c r="S4" s="15"/>
      <c r="T4" s="15"/>
      <c r="U4" s="131"/>
    </row>
    <row r="5" spans="1:21">
      <c r="A5" s="158"/>
      <c r="B5" s="15"/>
      <c r="C5" s="15"/>
      <c r="D5" s="15"/>
      <c r="E5" s="11" t="str">
        <f>SelectScenario!F5</f>
        <v>Select NG Furnace System Scenario</v>
      </c>
      <c r="F5" s="69">
        <f>SelectScenario!G5</f>
        <v>3</v>
      </c>
      <c r="G5" s="15"/>
      <c r="H5" s="160"/>
      <c r="I5" s="160"/>
      <c r="J5" s="160"/>
      <c r="K5" s="160"/>
      <c r="L5" s="11" t="str">
        <f>SelectScenario!F58</f>
        <v>Post Purge</v>
      </c>
      <c r="M5" s="243" t="str">
        <f>SelectScenario!G58</f>
        <v>NO</v>
      </c>
      <c r="N5" s="160"/>
      <c r="O5" s="15"/>
      <c r="P5" s="131"/>
      <c r="Q5" s="15"/>
      <c r="R5" s="15"/>
      <c r="S5" s="15"/>
      <c r="T5" s="15"/>
      <c r="U5" s="131"/>
    </row>
    <row r="6" spans="1:21">
      <c r="A6" s="158"/>
      <c r="B6" s="15"/>
      <c r="C6" s="15"/>
      <c r="D6" s="15"/>
      <c r="E6" s="11" t="str">
        <f>SelectScenario!F10</f>
        <v>Indoor Combustion Air</v>
      </c>
      <c r="F6" s="69" t="str">
        <f>SelectScenario!G10</f>
        <v>YES</v>
      </c>
      <c r="G6" s="15"/>
      <c r="H6" s="69"/>
      <c r="I6" s="69"/>
      <c r="J6" s="69"/>
      <c r="K6" s="69"/>
      <c r="L6" s="11" t="str">
        <f>SelectScenario!F59</f>
        <v>Pilot Light</v>
      </c>
      <c r="M6" s="243" t="str">
        <f>SelectScenario!G59</f>
        <v>NO</v>
      </c>
      <c r="N6" s="372"/>
      <c r="O6" s="372"/>
      <c r="P6" s="131"/>
      <c r="Q6" s="15"/>
      <c r="R6" s="15"/>
      <c r="S6" s="15"/>
      <c r="T6" s="15"/>
      <c r="U6" s="131"/>
    </row>
    <row r="7" spans="1:21">
      <c r="A7" s="158"/>
      <c r="B7" s="15"/>
      <c r="C7" s="15"/>
      <c r="D7" s="15"/>
      <c r="E7" s="11" t="str">
        <f>SelectScenario!F11</f>
        <v>Outdoor, Direct Vent or isolated Combustion System</v>
      </c>
      <c r="F7" s="69" t="str">
        <f>SelectScenario!G11</f>
        <v>NO</v>
      </c>
      <c r="G7" s="15"/>
      <c r="H7" s="69"/>
      <c r="I7" s="69"/>
      <c r="J7" s="69"/>
      <c r="K7" s="69"/>
      <c r="L7" s="11" t="str">
        <f>SelectScenario!F60</f>
        <v>Unit</v>
      </c>
      <c r="M7" s="243" t="str">
        <f>SelectScenario!G60</f>
        <v>British-Unit</v>
      </c>
      <c r="N7" s="69"/>
      <c r="O7" s="15"/>
      <c r="P7" s="131"/>
      <c r="Q7" s="15"/>
      <c r="R7" s="15"/>
      <c r="S7" s="15"/>
      <c r="T7" s="15"/>
      <c r="U7" s="131"/>
    </row>
    <row r="8" spans="1:21" ht="12.75" thickBot="1">
      <c r="A8" s="158"/>
      <c r="B8" s="15"/>
      <c r="C8" s="15"/>
      <c r="D8" s="15"/>
      <c r="E8" s="11" t="str">
        <f>SelectScenario!F12</f>
        <v>Direct Exhaust</v>
      </c>
      <c r="F8" s="69" t="str">
        <f>SelectScenario!G12</f>
        <v>NO</v>
      </c>
      <c r="G8" s="15"/>
      <c r="H8" s="69"/>
      <c r="I8" s="69"/>
      <c r="J8" s="69"/>
      <c r="K8" s="69"/>
      <c r="L8" s="69"/>
      <c r="M8" s="69"/>
      <c r="N8" s="69"/>
      <c r="O8" s="15"/>
      <c r="P8" s="131"/>
      <c r="Q8" s="15"/>
      <c r="R8" s="15"/>
      <c r="S8" s="15"/>
      <c r="T8" s="15"/>
      <c r="U8" s="131"/>
    </row>
    <row r="9" spans="1:21">
      <c r="A9" s="158"/>
      <c r="B9" s="15"/>
      <c r="C9" s="15"/>
      <c r="D9" s="15"/>
      <c r="E9" s="11" t="str">
        <f>SelectScenario!F13</f>
        <v>Draft Hood or Draft Diverter</v>
      </c>
      <c r="F9" s="69" t="str">
        <f>SelectScenario!G13</f>
        <v>YES</v>
      </c>
      <c r="G9" s="15"/>
      <c r="H9" s="244" t="s">
        <v>146</v>
      </c>
      <c r="I9" s="245"/>
      <c r="J9" s="245"/>
      <c r="K9" s="245"/>
      <c r="L9" s="245"/>
      <c r="M9" s="245"/>
      <c r="N9" s="245"/>
      <c r="O9" s="157"/>
      <c r="P9" s="131"/>
      <c r="Q9" s="15"/>
      <c r="R9" s="15"/>
      <c r="S9" s="15"/>
      <c r="T9" s="15"/>
      <c r="U9" s="131"/>
    </row>
    <row r="10" spans="1:21">
      <c r="A10" s="158"/>
      <c r="B10" s="15"/>
      <c r="C10" s="15"/>
      <c r="D10" s="15"/>
      <c r="E10" s="11" t="str">
        <f>SelectScenario!F14</f>
        <v>Barometric Draft</v>
      </c>
      <c r="F10" s="69" t="str">
        <f>SelectScenario!G14</f>
        <v>NO</v>
      </c>
      <c r="G10" s="15"/>
      <c r="H10" s="217" t="s">
        <v>206</v>
      </c>
      <c r="I10" s="224">
        <f>J108</f>
        <v>95.879322911104595</v>
      </c>
      <c r="J10" s="243" t="s">
        <v>93</v>
      </c>
      <c r="K10" s="15"/>
      <c r="L10" s="15"/>
      <c r="M10" s="11" t="str">
        <f>A107</f>
        <v>Heating seasoning efficiency</v>
      </c>
      <c r="N10" s="224">
        <f>B108</f>
        <v>95.879322911104595</v>
      </c>
      <c r="O10" s="246" t="s">
        <v>93</v>
      </c>
      <c r="P10" s="131"/>
      <c r="Q10" s="15"/>
      <c r="R10" s="15"/>
      <c r="S10" s="15"/>
      <c r="T10" s="15"/>
      <c r="U10" s="131"/>
    </row>
    <row r="11" spans="1:21">
      <c r="A11" s="158"/>
      <c r="B11" s="15"/>
      <c r="C11" s="15"/>
      <c r="D11" s="15"/>
      <c r="E11" s="11" t="str">
        <f>SelectScenario!F15</f>
        <v>Electrical/Mechanical Stack Damper</v>
      </c>
      <c r="F11" s="69" t="str">
        <f>SelectScenario!G15</f>
        <v>NO</v>
      </c>
      <c r="G11" s="15"/>
      <c r="H11" s="158" t="str">
        <f>A99&amp;"(max and reduced loads)"</f>
        <v>ON-Cycle Sensible Heat Loss.(max and reduced loads)</v>
      </c>
      <c r="I11" s="15"/>
      <c r="J11" s="15"/>
      <c r="K11" s="15"/>
      <c r="L11" s="224">
        <f>B100</f>
        <v>0.58895306193511865</v>
      </c>
      <c r="M11" s="224">
        <f>B101</f>
        <v>0.50068529386472349</v>
      </c>
      <c r="N11" s="69"/>
      <c r="O11" s="131"/>
      <c r="P11" s="131"/>
      <c r="Q11" s="15"/>
      <c r="R11" s="15"/>
      <c r="S11" s="15"/>
      <c r="T11" s="15"/>
      <c r="U11" s="131"/>
    </row>
    <row r="12" spans="1:21">
      <c r="A12" s="158"/>
      <c r="B12" s="15"/>
      <c r="C12" s="15"/>
      <c r="D12" s="15"/>
      <c r="E12" s="11" t="str">
        <f>SelectScenario!F16</f>
        <v>Atomspheric Burner</v>
      </c>
      <c r="F12" s="69" t="str">
        <f>SelectScenario!G16</f>
        <v>NO</v>
      </c>
      <c r="G12" s="15"/>
      <c r="H12" s="247" t="str">
        <f>I99&amp;"(max and reduced loads)"</f>
        <v>OFF-Cycle Sensible Heat Loss(max and reduced loads)</v>
      </c>
      <c r="I12" s="15"/>
      <c r="J12" s="15"/>
      <c r="K12" s="15"/>
      <c r="L12" s="364">
        <f>J100</f>
        <v>7.432558832794807E-6</v>
      </c>
      <c r="M12" s="364">
        <f>J101</f>
        <v>5.9231084091375734E-8</v>
      </c>
      <c r="N12" s="69"/>
      <c r="O12" s="131"/>
      <c r="P12" s="131"/>
      <c r="Q12" s="15"/>
      <c r="R12" s="15"/>
      <c r="S12" s="15"/>
      <c r="T12" s="15"/>
      <c r="U12" s="131"/>
    </row>
    <row r="13" spans="1:21">
      <c r="A13" s="158"/>
      <c r="B13" s="15"/>
      <c r="C13" s="15"/>
      <c r="D13" s="15"/>
      <c r="E13" s="11" t="str">
        <f>SelectScenario!F17</f>
        <v>Power Burner</v>
      </c>
      <c r="F13" s="69" t="str">
        <f>SelectScenario!G17</f>
        <v>YES</v>
      </c>
      <c r="G13" s="15"/>
      <c r="H13" s="158" t="str">
        <f>A103&amp;"(max and reduced loads)"</f>
        <v>ON-Cycle Infiltration Heat Loss.(max and reduced loads)</v>
      </c>
      <c r="I13" s="15"/>
      <c r="J13" s="15"/>
      <c r="K13" s="15"/>
      <c r="L13" s="364">
        <f>B104</f>
        <v>1.2008218705765406</v>
      </c>
      <c r="M13" s="364">
        <f>B105</f>
        <v>0.59895417113320082</v>
      </c>
      <c r="N13" s="69"/>
      <c r="O13" s="131"/>
      <c r="P13" s="131"/>
      <c r="Q13" s="15"/>
      <c r="R13" s="15"/>
      <c r="S13" s="15"/>
      <c r="T13" s="15"/>
      <c r="U13" s="131"/>
    </row>
    <row r="14" spans="1:21" ht="12.75" thickBot="1">
      <c r="A14" s="158"/>
      <c r="B14" s="15"/>
      <c r="C14" s="15"/>
      <c r="D14" s="15"/>
      <c r="E14" s="11" t="str">
        <f>SelectScenario!F18</f>
        <v>Burner Inlet Damper or Flue Damper</v>
      </c>
      <c r="F14" s="69" t="str">
        <f>SelectScenario!G18</f>
        <v>NO</v>
      </c>
      <c r="G14" s="15"/>
      <c r="H14" s="161" t="str">
        <f>I103&amp;"(max and reduced loads)"</f>
        <v>OFF-Cycle Infiltration Heat Loss.(max and reduced loads)</v>
      </c>
      <c r="I14" s="162"/>
      <c r="J14" s="162"/>
      <c r="K14" s="248"/>
      <c r="L14" s="366">
        <f>J104</f>
        <v>0.18705101685527009</v>
      </c>
      <c r="M14" s="366">
        <f>J105</f>
        <v>0.48941272080919523</v>
      </c>
      <c r="N14" s="248"/>
      <c r="O14" s="164"/>
      <c r="P14" s="131"/>
      <c r="Q14" s="15"/>
      <c r="R14" s="15"/>
      <c r="S14" s="15"/>
      <c r="T14" s="15"/>
      <c r="U14" s="131"/>
    </row>
    <row r="15" spans="1:21" ht="12.75" thickBot="1">
      <c r="A15" s="161"/>
      <c r="B15" s="162"/>
      <c r="C15" s="163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4"/>
      <c r="Q15" s="15"/>
      <c r="R15" s="15"/>
      <c r="S15" s="15"/>
      <c r="T15" s="15"/>
      <c r="U15" s="131"/>
    </row>
    <row r="16" spans="1:21" ht="12.75" thickBot="1">
      <c r="A16" s="161"/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4"/>
    </row>
    <row r="17" spans="1:21" ht="12.75" thickBot="1">
      <c r="A17" s="225" t="s">
        <v>216</v>
      </c>
      <c r="B17" s="229"/>
      <c r="C17" s="229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29"/>
      <c r="O17" s="229"/>
      <c r="P17" s="229"/>
      <c r="Q17" s="229"/>
      <c r="R17" s="229"/>
      <c r="S17" s="229"/>
      <c r="T17" s="229"/>
      <c r="U17" s="230"/>
    </row>
    <row r="18" spans="1:21">
      <c r="A18" s="216" t="s">
        <v>322</v>
      </c>
      <c r="B18" s="145"/>
      <c r="C18" s="145"/>
      <c r="D18" s="145"/>
      <c r="E18" s="145"/>
      <c r="F18" s="145"/>
      <c r="G18" s="15"/>
      <c r="H18" s="235" t="s">
        <v>321</v>
      </c>
      <c r="I18" s="235"/>
      <c r="J18" s="235"/>
      <c r="K18" s="145"/>
      <c r="L18" s="145"/>
      <c r="M18" s="145"/>
      <c r="N18" s="15"/>
      <c r="O18" s="145" t="s">
        <v>323</v>
      </c>
      <c r="P18" s="145"/>
      <c r="Q18" s="145"/>
      <c r="R18" s="145"/>
      <c r="S18" s="145"/>
      <c r="T18" s="145"/>
      <c r="U18" s="131"/>
    </row>
    <row r="19" spans="1:21" ht="13.5">
      <c r="A19" s="217" t="s">
        <v>148</v>
      </c>
      <c r="B19" s="149">
        <f>Others!F7+Others!G7/(DATAINPUTcm!F41)</f>
        <v>1.46194</v>
      </c>
      <c r="C19" s="15" t="s">
        <v>106</v>
      </c>
      <c r="D19" s="15"/>
      <c r="E19" s="15"/>
      <c r="F19" s="15"/>
      <c r="G19" s="15"/>
      <c r="H19" s="80" t="s">
        <v>234</v>
      </c>
      <c r="I19" s="236">
        <f>Others!F7+Others!G7/(DATAINPUTcm!F45)</f>
        <v>1.46194</v>
      </c>
      <c r="J19" s="237" t="s">
        <v>106</v>
      </c>
      <c r="K19" s="15"/>
      <c r="L19" s="15"/>
      <c r="M19" s="15"/>
      <c r="N19" s="15"/>
      <c r="O19" s="11" t="s">
        <v>96</v>
      </c>
      <c r="P19" s="147">
        <f>IF(SelectScenario!G12="YES",1,IF(SelectScenario!G13="NO",1.3*(I19/B19),IF(SelectScenario!G14="YES",1.4,AFUEAncnm!I19/AFUEAncnm!B19)))</f>
        <v>1</v>
      </c>
      <c r="Q19" s="15" t="s">
        <v>106</v>
      </c>
      <c r="R19" s="15"/>
      <c r="S19" s="15"/>
      <c r="T19" s="15"/>
      <c r="U19" s="131"/>
    </row>
    <row r="20" spans="1:21" ht="13.5">
      <c r="A20" s="217" t="s">
        <v>258</v>
      </c>
      <c r="B20" s="149">
        <f>Others!F7+Others!G7/(DATAINPUTcm!M41)</f>
        <v>1.7037047058823531</v>
      </c>
      <c r="C20" s="15" t="s">
        <v>106</v>
      </c>
      <c r="D20" s="15"/>
      <c r="E20" s="15"/>
      <c r="F20" s="15"/>
      <c r="G20" s="15"/>
      <c r="H20" s="80" t="s">
        <v>338</v>
      </c>
      <c r="I20" s="278">
        <f>Others!F7+Others!G7/(DATAINPUTcm!M45)</f>
        <v>1.7037047058823531</v>
      </c>
      <c r="J20" s="237" t="s">
        <v>106</v>
      </c>
      <c r="K20" s="15"/>
      <c r="L20" s="15"/>
      <c r="M20" s="15"/>
      <c r="N20" s="15"/>
      <c r="O20" s="11" t="s">
        <v>257</v>
      </c>
      <c r="P20" s="130">
        <f>IF(SelectScenario!G12="YES",1,IF(SelectScenario!G13="NO",1.3*(I19/B19),IF(SelectScenario!G14="YES",1.4,AFUEAncnm!I19/AFUEAncnm!B19)))</f>
        <v>1</v>
      </c>
      <c r="Q20" s="15" t="s">
        <v>106</v>
      </c>
      <c r="R20" s="15"/>
      <c r="S20" s="15"/>
      <c r="T20" s="15"/>
      <c r="U20" s="131"/>
    </row>
    <row r="21" spans="1:21">
      <c r="A21" s="217"/>
      <c r="B21" s="15"/>
      <c r="C21" s="15"/>
      <c r="D21" s="15"/>
      <c r="E21" s="15"/>
      <c r="F21" s="15"/>
      <c r="G21" s="15"/>
      <c r="H21" s="279"/>
      <c r="I21" s="237"/>
      <c r="J21" s="237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31"/>
    </row>
    <row r="22" spans="1:21">
      <c r="A22" s="216" t="s">
        <v>324</v>
      </c>
      <c r="B22" s="145"/>
      <c r="C22" s="145"/>
      <c r="D22" s="145"/>
      <c r="E22" s="145"/>
      <c r="F22" s="145"/>
      <c r="G22" s="15"/>
      <c r="H22" s="235" t="s">
        <v>325</v>
      </c>
      <c r="I22" s="235"/>
      <c r="J22" s="235"/>
      <c r="K22" s="145"/>
      <c r="L22" s="145"/>
      <c r="M22" s="145"/>
      <c r="N22" s="15"/>
      <c r="O22" s="145" t="s">
        <v>374</v>
      </c>
      <c r="P22" s="145"/>
      <c r="Q22" s="145"/>
      <c r="R22" s="145"/>
      <c r="S22" s="145"/>
      <c r="T22" s="145"/>
      <c r="U22" s="131"/>
    </row>
    <row r="23" spans="1:21" ht="13.5">
      <c r="A23" s="217" t="s">
        <v>210</v>
      </c>
      <c r="B23" s="147">
        <f>DATAINPUTcm!F33-DATAINPUTcm!F58</f>
        <v>24.430000000000007</v>
      </c>
      <c r="C23" s="15" t="str">
        <f>IF(UNIT="SI-Unit","C-Degree","F-Degree")</f>
        <v>F-Degree</v>
      </c>
      <c r="D23" s="15"/>
      <c r="E23" s="15"/>
      <c r="F23" s="15"/>
      <c r="G23" s="15"/>
      <c r="H23" s="80" t="s">
        <v>235</v>
      </c>
      <c r="I23" s="280">
        <f>DATAINPUTcm!F37-DATAINPUTcm!F58</f>
        <v>17.990000000000009</v>
      </c>
      <c r="J23" s="237" t="str">
        <f>IF(UNIT="SI-Unit","C-Degree","F-Degree")</f>
        <v>F-Degree</v>
      </c>
      <c r="K23" s="15"/>
      <c r="L23" s="15"/>
      <c r="M23" s="15"/>
      <c r="N23" s="15"/>
      <c r="O23" s="11" t="s">
        <v>207</v>
      </c>
      <c r="P23" s="179">
        <f>(B19/Others!D7+1)*DATAINPUTcm!F25/(IF(UNIT="SI-Unit",Others!C7,Others!B7))*IF(UNIT="SI-UNIT",3600,1)</f>
        <v>2.1650733469769619</v>
      </c>
      <c r="Q23" s="15" t="str">
        <f>IF(UNIT="SI-Unit","KG/HR","LB/HR")</f>
        <v>LB/HR</v>
      </c>
      <c r="R23" s="15"/>
      <c r="S23" s="15"/>
      <c r="T23" s="15"/>
      <c r="U23" s="131"/>
    </row>
    <row r="24" spans="1:21" ht="13.5">
      <c r="A24" s="217" t="s">
        <v>259</v>
      </c>
      <c r="B24" s="130">
        <f>DATAINPUTcm!M33-DATAINPUTcm!M58</f>
        <v>17.11</v>
      </c>
      <c r="C24" s="15" t="str">
        <f>IF(UNIT="SI-Unit","C-Degree","F-Degree")</f>
        <v>F-Degree</v>
      </c>
      <c r="D24" s="15"/>
      <c r="E24" s="15"/>
      <c r="F24" s="15"/>
      <c r="G24" s="15"/>
      <c r="H24" s="80" t="s">
        <v>339</v>
      </c>
      <c r="I24" s="280">
        <f>DATAINPUTcm!M37-DATAINPUTcm!M58</f>
        <v>12.13000000000001</v>
      </c>
      <c r="J24" s="237" t="str">
        <f>IF(UNIT="SI-Unit","C-Degree","F-Degree")</f>
        <v>F-Degree</v>
      </c>
      <c r="K24" s="15"/>
      <c r="L24" s="15"/>
      <c r="M24" s="15"/>
      <c r="N24" s="15"/>
      <c r="O24" s="11" t="s">
        <v>261</v>
      </c>
      <c r="P24" s="210">
        <f>(B20/Others!D7+1)*DATAINPUTcm!M25/(IF(UNIT="SI-Unit",Others!C7,Others!B7))*IF(UNIT="SI-UNIT",3600,1)</f>
        <v>1.6391286967751806</v>
      </c>
      <c r="Q24" s="15" t="str">
        <f>IF(UNIT="SI-Unit","KG/HR","LB/HR")</f>
        <v>LB/HR</v>
      </c>
      <c r="R24" s="15"/>
      <c r="S24" s="15"/>
      <c r="T24" s="15"/>
      <c r="U24" s="131"/>
    </row>
    <row r="25" spans="1:21">
      <c r="A25" s="217"/>
      <c r="B25" s="15"/>
      <c r="C25" s="15"/>
      <c r="D25" s="15"/>
      <c r="E25" s="15"/>
      <c r="F25" s="15"/>
      <c r="G25" s="15"/>
      <c r="H25" s="218"/>
      <c r="I25" s="15"/>
      <c r="J25" s="15"/>
      <c r="L25" s="15"/>
      <c r="M25" s="15"/>
      <c r="N25" s="15"/>
      <c r="O25" s="15"/>
      <c r="P25" s="15"/>
      <c r="Q25" s="15"/>
      <c r="R25" s="15"/>
      <c r="S25" s="15"/>
      <c r="T25" s="15"/>
      <c r="U25" s="131"/>
    </row>
    <row r="26" spans="1:21">
      <c r="A26" s="216" t="s">
        <v>327</v>
      </c>
      <c r="B26" s="145"/>
      <c r="C26" s="145"/>
      <c r="D26" s="145"/>
      <c r="E26" s="145"/>
      <c r="F26" s="145"/>
      <c r="G26" s="15"/>
      <c r="H26" s="145" t="s">
        <v>244</v>
      </c>
      <c r="I26" s="145"/>
      <c r="J26" s="145"/>
      <c r="K26" s="145"/>
      <c r="L26" s="145"/>
      <c r="M26" s="145"/>
      <c r="N26" s="15"/>
      <c r="O26" s="145" t="s">
        <v>329</v>
      </c>
      <c r="P26" s="145"/>
      <c r="Q26" s="145"/>
      <c r="R26" s="145"/>
      <c r="S26" s="145"/>
      <c r="T26" s="145"/>
      <c r="U26" s="131"/>
    </row>
    <row r="27" spans="1:21" ht="13.5">
      <c r="A27" s="217" t="s">
        <v>147</v>
      </c>
      <c r="B27" s="146">
        <f>LSSS(Others!D7,IF(UNIT="SI-Unit",Others!N7,Others!M7),IF(UNIT="SI-Unit",Others!P7,Others!O7),IF(UNIT="SI-Unit",Others!C7,Others!B7),Others!H7,Others!I7,Others!J7,Others!K7,Others!L7,Others!B10,Others!C10,Others!D10,Others!E10,Others!F10,IF(B19,B19,I19),IF(DATAINPUTcm!F33,DATAINPUTcm!F33,DATAINPUTcm!F37),IF(UNIT="SI-Unit",Others!C3,Others!B3),DATAINPUTcm!F58)</f>
        <v>0.69252874043865198</v>
      </c>
      <c r="C27" s="15" t="s">
        <v>93</v>
      </c>
      <c r="D27" s="11" t="s">
        <v>15</v>
      </c>
      <c r="E27" s="148">
        <f>B27</f>
        <v>0.69252874043865198</v>
      </c>
      <c r="F27" s="15" t="s">
        <v>93</v>
      </c>
      <c r="G27" s="15"/>
      <c r="H27" s="11" t="s">
        <v>241</v>
      </c>
      <c r="I27" s="186">
        <f>100*IF(UNIT="SI-Unit",2450,1053.3)*DATAINPUTcm!F111/(DATAINPUTcm!F107*IF(UNIT="SI-Unit",Others!C7,Others!B7))</f>
        <v>7.2881179353179002</v>
      </c>
      <c r="J27" s="15" t="s">
        <v>93</v>
      </c>
      <c r="K27" s="11" t="s">
        <v>15</v>
      </c>
      <c r="L27" s="143">
        <f>IF(I28,I28,I27)</f>
        <v>7.7334592047727195</v>
      </c>
      <c r="M27" s="15" t="s">
        <v>93</v>
      </c>
      <c r="N27" s="15"/>
      <c r="O27" s="11" t="s">
        <v>102</v>
      </c>
      <c r="P27" s="146">
        <f>LJ(DATAINPUTcm!F25,DATAINPUTcm!W66,DATAINPUTcm!W69,DATAINPUTcm!W72,DATAINPUTcm!F58,DATAINPUTcm!S66,DATAINPUTcm!S69,DATAINPUTcm!S72,DATAINPUTcm!S75,UNIT)</f>
        <v>0.54843869002157764</v>
      </c>
      <c r="Q27" s="15" t="s">
        <v>93</v>
      </c>
      <c r="R27" s="11" t="s">
        <v>15</v>
      </c>
      <c r="S27" s="180">
        <f>P27</f>
        <v>0.54843869002157764</v>
      </c>
      <c r="T27" s="15" t="s">
        <v>93</v>
      </c>
      <c r="U27" s="131"/>
    </row>
    <row r="28" spans="1:21" ht="13.5">
      <c r="A28" s="217" t="s">
        <v>262</v>
      </c>
      <c r="B28" s="207">
        <f>LSSS(Others!D7,IF(UNIT="SI-Unit",Others!N7,Others!M7),IF(UNIT="SI-Unit",Others!P7,Others!O7),IF(UNIT="SI-Unit",Others!C7,Others!B7),Others!H7,Others!I7,Others!J7,Others!K7,Others!L7,Others!B10,Others!C10,Others!D10,Others!E10,Others!F10,IF(B20,B20,I20),IF(DATAINPUTcm!M33,DATAINPUTcm!M33,DATAINPUTcm!M37),IF(UNIT="SI-Unit",Others!C3,Others!B3),DATAINPUTcm!F58)</f>
        <v>0.55669702785838593</v>
      </c>
      <c r="C28" s="15" t="s">
        <v>93</v>
      </c>
      <c r="D28" s="11" t="s">
        <v>15</v>
      </c>
      <c r="E28" s="148">
        <f>B28</f>
        <v>0.55669702785838593</v>
      </c>
      <c r="F28" s="15" t="s">
        <v>93</v>
      </c>
      <c r="G28" s="15"/>
      <c r="H28" s="11" t="s">
        <v>342</v>
      </c>
      <c r="I28" s="186">
        <f>100*IF(UNIT="SI-Unit",2450,1053.3)*DATAINPUTcm!M111/(DATAINPUTcm!M107*IF(UNIT="SI-Unit",Others!C7,Others!B7))</f>
        <v>7.7334592047727195</v>
      </c>
      <c r="J28" s="15" t="s">
        <v>93</v>
      </c>
      <c r="K28" s="11" t="s">
        <v>15</v>
      </c>
      <c r="L28" s="143">
        <f>IF(I29,I29,I28)</f>
        <v>7.7334592047727195</v>
      </c>
      <c r="M28" s="15" t="s">
        <v>93</v>
      </c>
      <c r="N28" s="15"/>
      <c r="O28" s="80" t="s">
        <v>264</v>
      </c>
      <c r="P28" s="266">
        <f>LJ(DATAINPUTcm!M25,DATAINPUTcm!W67,DATAINPUTcm!W70,DATAINPUTcm!W73,DATAINPUTcm!F58,DATAINPUTcm!S66,DATAINPUTcm!S69,DATAINPUTcm!S72,DATAINPUTcm!S75,UNIT)</f>
        <v>0.51364602200280451</v>
      </c>
      <c r="Q28" s="237" t="s">
        <v>93</v>
      </c>
      <c r="R28" s="80" t="s">
        <v>15</v>
      </c>
      <c r="S28" s="267">
        <f>P28</f>
        <v>0.51364602200280451</v>
      </c>
      <c r="T28" s="237" t="s">
        <v>93</v>
      </c>
      <c r="U28" s="131"/>
    </row>
    <row r="29" spans="1:21">
      <c r="A29" s="217"/>
      <c r="B29" s="15"/>
      <c r="C29" s="15"/>
      <c r="D29" s="15"/>
      <c r="E29" s="15"/>
      <c r="F29" s="15"/>
      <c r="G29" s="15"/>
      <c r="H29" s="11"/>
      <c r="I29" s="15"/>
      <c r="J29" s="15"/>
      <c r="K29" s="15"/>
      <c r="L29" s="15"/>
      <c r="M29" s="15"/>
      <c r="N29" s="15"/>
      <c r="O29" s="11"/>
      <c r="P29" s="15"/>
      <c r="Q29" s="15"/>
      <c r="R29" s="15"/>
      <c r="S29" s="15"/>
      <c r="T29" s="15"/>
      <c r="U29" s="131"/>
    </row>
    <row r="30" spans="1:21">
      <c r="A30" s="216" t="s">
        <v>243</v>
      </c>
      <c r="B30" s="145"/>
      <c r="C30" s="145"/>
      <c r="D30" s="145"/>
      <c r="E30" s="145"/>
      <c r="F30" s="145"/>
      <c r="G30" s="15"/>
      <c r="H30" s="11"/>
      <c r="I30" s="15"/>
      <c r="J30" s="15"/>
      <c r="K30" s="15"/>
      <c r="L30" s="15"/>
      <c r="M30" s="15"/>
      <c r="N30" s="15"/>
      <c r="O30" s="145" t="s">
        <v>328</v>
      </c>
      <c r="P30" s="145"/>
      <c r="Q30" s="145"/>
      <c r="R30" s="145"/>
      <c r="S30" s="145"/>
      <c r="T30" s="145"/>
      <c r="U30" s="131"/>
    </row>
    <row r="31" spans="1:21" ht="13.5">
      <c r="A31" s="11" t="s">
        <v>242</v>
      </c>
      <c r="B31" s="186">
        <f>I27*(IF(UNIT="SI-Unit",4.187,1)*(DATAINPUTcm!F33-IF(UNIT="SI-Unit",21.1,70))-IF(UNIT="SI-Unit",1.88,0.45)*(DATAINPUTcm!F33-IF(UNIT="SI-Unit",5.6,42)))/IF(UNIT="SI-Unit",2450,1053.3)</f>
        <v>2.3408053712314109E-2</v>
      </c>
      <c r="C31" s="15" t="s">
        <v>93</v>
      </c>
      <c r="D31" s="11" t="s">
        <v>15</v>
      </c>
      <c r="E31" s="371">
        <f>IF(B31,B31,0)</f>
        <v>2.3408053712314109E-2</v>
      </c>
      <c r="F31" s="15" t="s">
        <v>93</v>
      </c>
      <c r="G31" s="15"/>
      <c r="H31" s="11"/>
      <c r="I31" s="15"/>
      <c r="J31" s="15"/>
      <c r="K31" s="15"/>
      <c r="L31" s="15"/>
      <c r="M31" s="15"/>
      <c r="N31" s="15"/>
      <c r="O31" s="11" t="s">
        <v>211</v>
      </c>
      <c r="P31" s="146">
        <f>100-(Others!E7+E27-L27+E31)</f>
        <v>97.467522410621754</v>
      </c>
      <c r="Q31" s="15" t="s">
        <v>93</v>
      </c>
      <c r="R31" s="11" t="s">
        <v>15</v>
      </c>
      <c r="S31" s="148">
        <f>P31</f>
        <v>97.467522410621754</v>
      </c>
      <c r="T31" s="15" t="s">
        <v>93</v>
      </c>
      <c r="U31" s="131"/>
    </row>
    <row r="32" spans="1:21" ht="13.5">
      <c r="A32" s="11" t="s">
        <v>343</v>
      </c>
      <c r="B32" s="186">
        <f>I28*(IF(UNIT="SI-Unit",4.187,1)*(DATAINPUTcm!F33-IF(UNIT="SI-Unit",21.1,70))-IF(UNIT="SI-Unit",1.88,0.45)*(DATAINPUTcm!F33-IF(UNIT="SI-Unit",5.6,42)))/IF(UNIT="SI-Unit",2450,1053.3)</f>
        <v>2.483840547778041E-2</v>
      </c>
      <c r="C32" s="15" t="s">
        <v>93</v>
      </c>
      <c r="D32" s="11" t="s">
        <v>15</v>
      </c>
      <c r="E32" s="371">
        <f>IF(B32,B32,0)</f>
        <v>2.483840547778041E-2</v>
      </c>
      <c r="F32" s="15" t="s">
        <v>93</v>
      </c>
      <c r="G32" s="15"/>
      <c r="H32" s="11"/>
      <c r="I32" s="15"/>
      <c r="J32" s="15"/>
      <c r="K32" s="15"/>
      <c r="L32" s="15"/>
      <c r="M32" s="15"/>
      <c r="N32" s="15"/>
      <c r="O32" s="11" t="s">
        <v>263</v>
      </c>
      <c r="P32" s="207">
        <f>100-(Others!E7+E28-L28+E32)</f>
        <v>97.601923771436546</v>
      </c>
      <c r="Q32" s="15" t="s">
        <v>93</v>
      </c>
      <c r="R32" s="11" t="s">
        <v>15</v>
      </c>
      <c r="S32" s="148">
        <f>P32</f>
        <v>97.601923771436546</v>
      </c>
      <c r="T32" s="15" t="s">
        <v>93</v>
      </c>
      <c r="U32" s="131"/>
    </row>
    <row r="33" spans="1:21" ht="12.75" thickBot="1">
      <c r="A33" s="217"/>
      <c r="B33" s="15"/>
      <c r="C33" s="15"/>
      <c r="D33" s="15"/>
      <c r="E33" s="15"/>
      <c r="F33" s="15"/>
      <c r="G33" s="15"/>
      <c r="H33" s="11"/>
      <c r="I33" s="15"/>
      <c r="J33" s="15"/>
      <c r="K33" s="15"/>
      <c r="L33" s="15"/>
      <c r="M33" s="15"/>
      <c r="N33" s="15"/>
      <c r="O33" s="11"/>
      <c r="P33" s="15"/>
      <c r="Q33" s="15"/>
      <c r="R33" s="15"/>
      <c r="S33" s="15"/>
      <c r="T33" s="15"/>
      <c r="U33" s="131"/>
    </row>
    <row r="34" spans="1:21" ht="12.75" thickBot="1">
      <c r="A34" s="256" t="s">
        <v>99</v>
      </c>
      <c r="B34" s="257"/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8"/>
      <c r="T34" s="257"/>
      <c r="U34" s="259"/>
    </row>
    <row r="35" spans="1:21">
      <c r="A35" s="216" t="s">
        <v>330</v>
      </c>
      <c r="B35" s="145"/>
      <c r="C35" s="145"/>
      <c r="D35" s="145"/>
      <c r="E35" s="145"/>
      <c r="F35" s="145"/>
      <c r="G35" s="15"/>
      <c r="H35" s="145" t="s">
        <v>331</v>
      </c>
      <c r="I35" s="145"/>
      <c r="J35" s="145"/>
      <c r="K35" s="145"/>
      <c r="L35" s="145"/>
      <c r="M35" s="145"/>
      <c r="N35" s="15"/>
      <c r="O35" s="145" t="s">
        <v>332</v>
      </c>
      <c r="P35" s="145"/>
      <c r="Q35" s="145"/>
      <c r="R35" s="145"/>
      <c r="S35" s="145"/>
      <c r="T35" s="145"/>
      <c r="U35" s="131"/>
    </row>
    <row r="36" spans="1:21" ht="13.5">
      <c r="A36" s="217" t="s">
        <v>151</v>
      </c>
      <c r="B36" s="146">
        <f>DATAINPUTcm!F25*(AFUEAcm!P31-P27*IF(SelectScenario!G23="YES",0,IF(AND(SelectScenario!G11="YES",SelectScenario!B27="Outdoor"),3.3,1.7)))/100</f>
        <v>38557.17719041786</v>
      </c>
      <c r="C36" s="15" t="str">
        <f>IF(UNIT="SI-Unit","kW","BTU/HR")</f>
        <v>BTU/HR</v>
      </c>
      <c r="D36" s="15"/>
      <c r="E36" s="15"/>
      <c r="F36" s="15"/>
      <c r="G36" s="15"/>
      <c r="H36" s="219" t="s">
        <v>103</v>
      </c>
      <c r="I36" s="149">
        <f>0.7</f>
        <v>0.7</v>
      </c>
      <c r="J36" s="15" t="s">
        <v>106</v>
      </c>
      <c r="K36" s="15"/>
      <c r="L36" s="15"/>
      <c r="M36" s="15"/>
      <c r="N36" s="15"/>
      <c r="O36" s="276" t="s">
        <v>320</v>
      </c>
      <c r="P36" s="238">
        <f>IF(UNIT="SI-Unit",5.6,42)</f>
        <v>42</v>
      </c>
      <c r="Q36" s="237" t="str">
        <f>IF(UNIT="SI-Unit","C-Degree","F-Degree")</f>
        <v>F-Degree</v>
      </c>
      <c r="R36" s="15"/>
      <c r="S36" s="15"/>
      <c r="T36" s="15"/>
      <c r="U36" s="131"/>
    </row>
    <row r="37" spans="1:21" ht="13.5">
      <c r="A37" s="217" t="s">
        <v>265</v>
      </c>
      <c r="B37" s="207">
        <f>DATAINPUTcm!M25*(P32-P27*IF(SelectScenario!G23="YES",0,IF(AND(SelectScenario!G11="YES",SelectScenario!B27="Outdoor"),3.3,1.7)))/100</f>
        <v>28793.543531811494</v>
      </c>
      <c r="C37" s="15" t="str">
        <f>IF(UNIT="SI-Unit","kW","BTU/HR")</f>
        <v>BTU/HR</v>
      </c>
      <c r="D37" s="15"/>
      <c r="E37" s="15"/>
      <c r="F37" s="15"/>
      <c r="G37" s="15"/>
      <c r="H37" s="219" t="s">
        <v>266</v>
      </c>
      <c r="I37" s="149">
        <f>IF((1+I36)*B37/B36-1&lt;0,0,(1+I36)*B37/B36-1)</f>
        <v>0.26951783224017345</v>
      </c>
      <c r="J37" s="15" t="s">
        <v>106</v>
      </c>
      <c r="K37" s="15"/>
      <c r="L37" s="15"/>
      <c r="M37" s="15"/>
      <c r="N37" s="15"/>
      <c r="O37" s="219" t="s">
        <v>267</v>
      </c>
      <c r="P37" s="207">
        <f>TOARHXH(P41,1,UNIT)</f>
        <v>42</v>
      </c>
      <c r="Q37" s="15" t="str">
        <f>IF(UNIT="SI-Unit","C-Degree","F-Degree")</f>
        <v>F-Degree</v>
      </c>
      <c r="R37" s="15"/>
      <c r="S37" s="15"/>
      <c r="T37" s="15"/>
      <c r="U37" s="131"/>
    </row>
    <row r="38" spans="1:21" ht="13.5">
      <c r="A38" s="217" t="s">
        <v>307</v>
      </c>
      <c r="B38" s="207">
        <f>IF(P41&lt;=IF(UNIT="SI_Unit",-15,5),B37,(B36/(1+I36)-B37)*(P41-P38)/(P41-IF(UNIT="SI-Unit",-15,5))+B37)</f>
        <v>28793.543531811494</v>
      </c>
      <c r="C38" s="15" t="str">
        <f>IF(UNIT="SI-Unit","kW","BTU/HR")</f>
        <v>BTU/HR</v>
      </c>
      <c r="D38" s="15"/>
      <c r="E38" s="15"/>
      <c r="F38" s="15"/>
      <c r="G38" s="15"/>
      <c r="H38" s="219"/>
      <c r="I38" s="15"/>
      <c r="J38" s="15"/>
      <c r="K38" s="15"/>
      <c r="L38" s="15"/>
      <c r="M38" s="15"/>
      <c r="N38" s="15"/>
      <c r="O38" s="219" t="s">
        <v>270</v>
      </c>
      <c r="P38" s="207">
        <f>TOARHXH(P41,2,UNIT)</f>
        <v>5</v>
      </c>
      <c r="Q38" s="15" t="str">
        <f>IF(UNIT="SI-Unit","C-Degree","F-Degree")</f>
        <v>F-Degree</v>
      </c>
      <c r="R38" s="15"/>
      <c r="S38" s="15"/>
      <c r="T38" s="15"/>
      <c r="U38" s="131"/>
    </row>
    <row r="39" spans="1:21">
      <c r="A39" s="217"/>
      <c r="B39" s="265"/>
      <c r="C39" s="15"/>
      <c r="D39" s="15"/>
      <c r="E39" s="15"/>
      <c r="F39" s="15"/>
      <c r="G39" s="15"/>
      <c r="H39" s="219"/>
      <c r="I39" s="15"/>
      <c r="J39" s="15"/>
      <c r="K39" s="15"/>
      <c r="L39" s="15"/>
      <c r="M39" s="15"/>
      <c r="N39" s="15"/>
      <c r="O39" s="219"/>
      <c r="P39" s="15"/>
      <c r="Q39" s="15"/>
      <c r="R39" s="15"/>
      <c r="S39" s="15"/>
      <c r="T39" s="15"/>
      <c r="U39" s="131"/>
    </row>
    <row r="40" spans="1:21">
      <c r="A40" s="270" t="s">
        <v>273</v>
      </c>
      <c r="B40" s="270"/>
      <c r="C40" s="270"/>
      <c r="D40" s="270"/>
      <c r="E40" s="270"/>
      <c r="F40" s="270"/>
      <c r="G40" s="15"/>
      <c r="H40" s="270" t="s">
        <v>272</v>
      </c>
      <c r="I40" s="270"/>
      <c r="J40" s="270"/>
      <c r="K40" s="270"/>
      <c r="L40" s="270"/>
      <c r="M40" s="270"/>
      <c r="N40" s="15"/>
      <c r="O40" s="269" t="s">
        <v>268</v>
      </c>
      <c r="P40" s="268"/>
      <c r="Q40" s="145"/>
      <c r="R40" s="145"/>
      <c r="S40" s="145"/>
      <c r="T40" s="145"/>
      <c r="U40" s="131"/>
    </row>
    <row r="41" spans="1:21" ht="13.5">
      <c r="A41" s="11" t="s">
        <v>271</v>
      </c>
      <c r="B41" s="149">
        <f>TOARHXH(P41,3,UNIT)</f>
        <v>0</v>
      </c>
      <c r="C41" s="15" t="s">
        <v>106</v>
      </c>
      <c r="D41" s="15"/>
      <c r="E41" s="15"/>
      <c r="F41" s="15"/>
      <c r="G41" s="15"/>
      <c r="H41" s="56" t="s">
        <v>274</v>
      </c>
      <c r="I41" s="277">
        <f>1-B41</f>
        <v>1</v>
      </c>
      <c r="J41" s="15" t="s">
        <v>106</v>
      </c>
      <c r="K41" s="15"/>
      <c r="L41" s="15"/>
      <c r="M41" s="15"/>
      <c r="N41" s="15"/>
      <c r="O41" s="11" t="s">
        <v>269</v>
      </c>
      <c r="P41" s="146">
        <f>IF(UNIT="SI-Unit",18.3,65)-((IF(UNIT="SI-Unit",18.3,65)-IF(UNIT="SI-Unit",-15,5))*(1+I36)*B37/B36)</f>
        <v>-11.171069934410397</v>
      </c>
      <c r="Q41" s="15" t="str">
        <f>IF(UNIT="SI-Unit","C-Degree","F-Degree")</f>
        <v>F-Degree</v>
      </c>
      <c r="R41" s="15"/>
      <c r="S41" s="15"/>
      <c r="T41" s="15"/>
      <c r="U41" s="131"/>
    </row>
    <row r="42" spans="1:21">
      <c r="A42" s="11"/>
      <c r="B42" s="15"/>
      <c r="C42" s="15"/>
      <c r="D42" s="15"/>
      <c r="E42" s="15"/>
      <c r="F42" s="15"/>
      <c r="G42" s="15"/>
      <c r="H42" s="56"/>
      <c r="J42" s="15"/>
      <c r="K42" s="15"/>
      <c r="L42" s="15"/>
      <c r="M42" s="15"/>
      <c r="N42" s="15"/>
      <c r="O42" s="11"/>
      <c r="P42" s="265"/>
      <c r="Q42" s="15"/>
      <c r="R42" s="15"/>
      <c r="S42" s="15"/>
      <c r="T42" s="15"/>
      <c r="U42" s="131"/>
    </row>
    <row r="43" spans="1:21">
      <c r="A43" s="243" t="s">
        <v>304</v>
      </c>
      <c r="B43" s="15"/>
      <c r="C43" s="15"/>
      <c r="D43" s="15"/>
      <c r="E43" s="15"/>
      <c r="F43" s="15"/>
      <c r="G43" s="15"/>
      <c r="H43" s="243" t="s">
        <v>306</v>
      </c>
      <c r="I43" s="15"/>
      <c r="J43" s="15"/>
      <c r="K43" s="15"/>
      <c r="L43" s="15"/>
      <c r="M43" s="15"/>
      <c r="N43" s="15"/>
      <c r="O43" s="243" t="s">
        <v>308</v>
      </c>
      <c r="P43" s="265"/>
      <c r="Q43" s="15"/>
      <c r="R43" s="15"/>
      <c r="S43" s="15"/>
      <c r="T43" s="15"/>
      <c r="U43" s="131"/>
    </row>
    <row r="44" spans="1:21" ht="13.5">
      <c r="A44" s="11" t="s">
        <v>305</v>
      </c>
      <c r="B44" s="207">
        <f>IF(P41&lt;=IF(UNIT="SI_Unit",-15,5),P32,(B36/(1+I36)-B37)/(B36-B37)*(P41-P38)/(P41-IF(UNIT="SI-Unit",-15,5))*(P31-P32)+P32)</f>
        <v>97.601923771436546</v>
      </c>
      <c r="C44" s="15" t="s">
        <v>93</v>
      </c>
      <c r="D44" s="15"/>
      <c r="E44" s="15"/>
      <c r="F44" s="15"/>
      <c r="G44" s="15"/>
      <c r="H44" s="11" t="s">
        <v>310</v>
      </c>
      <c r="I44" s="207">
        <f>IF(SelectScenario!G6="Step_Modulating",B41*B44+I41*P32,B41*P31+I41*P32)</f>
        <v>97.601923771436546</v>
      </c>
      <c r="J44" s="15" t="s">
        <v>93</v>
      </c>
      <c r="K44" s="15"/>
      <c r="L44" s="15"/>
      <c r="M44" s="15"/>
      <c r="N44" s="15"/>
      <c r="O44" s="11" t="s">
        <v>309</v>
      </c>
      <c r="P44" s="207">
        <f>IF(SelectScenario!G11="NO",B44-E104,B44-P27*IF(SelectScenario!G10="YES",0,IF(SelectScenario!G10="YES",1.7,3.3)))</f>
        <v>97.002969600303345</v>
      </c>
      <c r="Q44" s="15" t="s">
        <v>93</v>
      </c>
      <c r="R44" s="15"/>
      <c r="S44" s="15"/>
      <c r="T44" s="15"/>
      <c r="U44" s="131"/>
    </row>
    <row r="45" spans="1:21" ht="12.75" thickBot="1">
      <c r="A45" s="158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31"/>
    </row>
    <row r="46" spans="1:21" ht="12.75" thickBot="1">
      <c r="A46" s="225" t="s">
        <v>217</v>
      </c>
      <c r="B46" s="229"/>
      <c r="C46" s="229"/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30"/>
    </row>
    <row r="47" spans="1:21">
      <c r="A47" s="216" t="s">
        <v>113</v>
      </c>
      <c r="B47" s="145"/>
      <c r="C47" s="145"/>
      <c r="D47" s="145"/>
      <c r="E47" s="145"/>
      <c r="F47" s="145"/>
      <c r="G47" s="15"/>
      <c r="H47" s="145" t="s">
        <v>114</v>
      </c>
      <c r="I47" s="145"/>
      <c r="J47" s="145"/>
      <c r="K47" s="145"/>
      <c r="L47" s="145"/>
      <c r="M47" s="145"/>
      <c r="N47" s="15"/>
      <c r="O47" s="235" t="s">
        <v>115</v>
      </c>
      <c r="P47" s="235"/>
      <c r="Q47" s="235"/>
      <c r="R47" s="145"/>
      <c r="S47" s="145"/>
      <c r="T47" s="145"/>
      <c r="U47" s="131"/>
    </row>
    <row r="48" spans="1:21" ht="13.5">
      <c r="A48" s="241" t="s">
        <v>278</v>
      </c>
      <c r="B48" s="242">
        <f>100*IF(UNIT="SI-Unit",CPAIRSI,CPAIRBRITISH)*(1+B19*Others!D7)/(IF(UNIT="SI-Unit",Others!C7,Others!B7))</f>
        <v>2.6391689463220673E-2</v>
      </c>
      <c r="C48" s="255" t="s">
        <v>106</v>
      </c>
      <c r="D48" s="255"/>
      <c r="E48" s="255"/>
      <c r="F48" s="255"/>
      <c r="G48" s="255"/>
      <c r="H48" s="19" t="s">
        <v>279</v>
      </c>
      <c r="I48" s="242">
        <f>IF(SYSTEMNUMBER&lt;9,0.7*AFUEAcm!P19*AFUEAcm!B48,0)</f>
        <v>1.847418262425447E-2</v>
      </c>
      <c r="J48" s="255" t="s">
        <v>106</v>
      </c>
      <c r="K48" s="15"/>
      <c r="L48" s="15"/>
      <c r="M48" s="15"/>
      <c r="N48" s="15"/>
      <c r="O48" s="80" t="s">
        <v>252</v>
      </c>
      <c r="P48" s="266">
        <f>(DATAINPUTcm!F33-DATAINPUTcm!F58)/P19+DATAINPUTcm!F58</f>
        <v>99.06</v>
      </c>
      <c r="Q48" s="237" t="str">
        <f>IF(UNIT="SI-Unit","C-Degree","F-Degree")</f>
        <v>F-Degree</v>
      </c>
      <c r="R48" s="15"/>
      <c r="S48" s="15"/>
      <c r="T48" s="15"/>
      <c r="U48" s="131"/>
    </row>
    <row r="49" spans="1:21" ht="13.5">
      <c r="A49" s="217" t="s">
        <v>275</v>
      </c>
      <c r="B49" s="208">
        <f>100*IF(UNIT="SI-Unit",CPAIRSI,CPAIRBRITISH)*(1+B20*Others!D7)/(IF(UNIT="SI-Unit",Others!C7,Others!B7))</f>
        <v>3.0558886282306168E-2</v>
      </c>
      <c r="C49" s="15" t="s">
        <v>106</v>
      </c>
      <c r="D49" s="15"/>
      <c r="E49" s="15"/>
      <c r="F49" s="15"/>
      <c r="G49" s="15"/>
      <c r="H49" s="11" t="s">
        <v>276</v>
      </c>
      <c r="I49" s="208">
        <f>IF(SYSTEMNUMBER&lt;9,0.7*P20*B49,0)</f>
        <v>2.1391220397614315E-2</v>
      </c>
      <c r="J49" s="255" t="s">
        <v>106</v>
      </c>
      <c r="K49" s="15"/>
      <c r="L49" s="15"/>
      <c r="M49" s="15"/>
      <c r="N49" s="15"/>
      <c r="O49" s="80" t="s">
        <v>333</v>
      </c>
      <c r="P49" s="266">
        <f>(DATAINPUTcm!M33-DATAINPUTcm!M58)/P20+DATAINPUTcm!M58</f>
        <v>91.74</v>
      </c>
      <c r="Q49" s="237" t="str">
        <f>IF(UNIT="SI-Unit","C-Degree","F-Degree")</f>
        <v>F-Degree</v>
      </c>
      <c r="R49" s="15"/>
      <c r="S49" s="15"/>
      <c r="T49" s="15"/>
      <c r="U49" s="131"/>
    </row>
    <row r="50" spans="1:21">
      <c r="A50" s="158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31"/>
    </row>
    <row r="51" spans="1:21">
      <c r="A51" s="216" t="s">
        <v>116</v>
      </c>
      <c r="B51" s="145"/>
      <c r="C51" s="145"/>
      <c r="D51" s="145"/>
      <c r="E51" s="145"/>
      <c r="F51" s="145"/>
      <c r="G51" s="15"/>
      <c r="H51" s="145" t="s">
        <v>124</v>
      </c>
      <c r="I51" s="145"/>
      <c r="J51" s="145"/>
      <c r="K51" s="145"/>
      <c r="L51" s="145"/>
      <c r="M51" s="145"/>
      <c r="N51" s="15"/>
      <c r="O51" s="145" t="s">
        <v>127</v>
      </c>
      <c r="P51" s="145"/>
      <c r="Q51" s="145"/>
      <c r="R51" s="145"/>
      <c r="S51" s="145"/>
      <c r="T51" s="145"/>
      <c r="U51" s="131"/>
    </row>
    <row r="52" spans="1:21" ht="13.5">
      <c r="A52" s="220" t="s">
        <v>156</v>
      </c>
      <c r="B52" s="149">
        <f>(2.5-0.5)/LN((DATAINPUTcm!F33-DATAINPUTcm!F97)/(DATAINPUTcm!F33-DATAINPUTcm!F101))</f>
        <v>11.662922759284456</v>
      </c>
      <c r="C52" s="15" t="s">
        <v>117</v>
      </c>
      <c r="D52" s="11" t="s">
        <v>334</v>
      </c>
      <c r="E52" s="378">
        <f>60/(4*5*(1-E54))</f>
        <v>7.2857142857142865</v>
      </c>
      <c r="F52" s="15" t="s">
        <v>117</v>
      </c>
      <c r="G52" s="15"/>
      <c r="H52" s="11" t="s">
        <v>126</v>
      </c>
      <c r="I52" s="149">
        <f>E52/B52</f>
        <v>0.62469026298869867</v>
      </c>
      <c r="J52" s="15" t="s">
        <v>106</v>
      </c>
      <c r="K52" s="15"/>
      <c r="L52" s="15"/>
      <c r="M52" s="15"/>
      <c r="N52" s="15"/>
      <c r="O52" s="11" t="s">
        <v>166</v>
      </c>
      <c r="P52" s="149">
        <f>(1-(B79/EXP(I67))/(DATAINPUTcm!F33-DATAINPUTcm!F75))/(1-(B91*B79/EXP(I52+I67))/(DATAINPUTcm!F33-DATAINPUTcm!F75)^2)</f>
        <v>0.42378204721862195</v>
      </c>
      <c r="Q52" s="15" t="s">
        <v>106</v>
      </c>
      <c r="R52" s="15"/>
      <c r="S52" s="15"/>
      <c r="T52" s="15"/>
      <c r="U52" s="131"/>
    </row>
    <row r="53" spans="1:21" ht="13.5">
      <c r="A53" s="220" t="s">
        <v>280</v>
      </c>
      <c r="B53" s="208">
        <f>(5.5-1)/LN((DATAINPUTcm!M33-DATAINPUTcm!M97)/(DATAINPUTcm!M33-DATAINPUTcm!M101))</f>
        <v>8.9137579315576989</v>
      </c>
      <c r="C53" s="15" t="s">
        <v>117</v>
      </c>
      <c r="D53" s="11" t="s">
        <v>335</v>
      </c>
      <c r="E53" s="208">
        <f>60/(4*5*(1-E55))</f>
        <v>4.2976981671633752</v>
      </c>
      <c r="F53" s="15" t="s">
        <v>117</v>
      </c>
      <c r="G53" s="15"/>
      <c r="H53" s="11" t="s">
        <v>281</v>
      </c>
      <c r="I53" s="208">
        <f>E53/B53</f>
        <v>0.48214212234192261</v>
      </c>
      <c r="J53" s="15" t="s">
        <v>106</v>
      </c>
      <c r="K53" s="15"/>
      <c r="L53" s="15"/>
      <c r="M53" s="15"/>
      <c r="N53" s="15"/>
      <c r="O53" s="11" t="s">
        <v>282</v>
      </c>
      <c r="P53" s="208">
        <f>(1-(B80/EXP(I68))/(DATAINPUTcm!M33-DATAINPUTcm!M75))/(1-(B92*B80/EXP(I53+I68))/(DATAINPUTcm!M33-DATAINPUTcm!M75)^2)</f>
        <v>0.24596031975237198</v>
      </c>
      <c r="Q53" s="15" t="s">
        <v>106</v>
      </c>
      <c r="R53" s="15"/>
      <c r="S53" s="15"/>
      <c r="T53" s="15"/>
      <c r="U53" s="131"/>
    </row>
    <row r="54" spans="1:21" ht="13.5">
      <c r="A54" s="220"/>
      <c r="B54" s="150"/>
      <c r="C54" s="15"/>
      <c r="D54" s="11" t="s">
        <v>290</v>
      </c>
      <c r="E54" s="208">
        <f>(IF(UNIT="SI-Unit",18.3,65)-P38)/(IF(UNIT="SI-Unit",18.3,65)-IF(UNIT="SI-Unit",-15,5))/(1+I36)</f>
        <v>0.58823529411764708</v>
      </c>
      <c r="F54" s="15" t="s">
        <v>106</v>
      </c>
      <c r="G54" s="15"/>
      <c r="H54" s="11"/>
      <c r="I54" s="150"/>
      <c r="J54" s="15"/>
      <c r="K54" s="15"/>
      <c r="L54" s="15"/>
      <c r="M54" s="15"/>
      <c r="N54" s="15"/>
      <c r="O54" s="11"/>
      <c r="P54" s="150"/>
      <c r="Q54" s="15"/>
      <c r="R54" s="15"/>
      <c r="S54" s="15"/>
      <c r="T54" s="15"/>
      <c r="U54" s="131"/>
    </row>
    <row r="55" spans="1:21" ht="13.5">
      <c r="A55" s="220"/>
      <c r="B55" s="150"/>
      <c r="C55" s="15"/>
      <c r="D55" s="11" t="s">
        <v>289</v>
      </c>
      <c r="E55" s="208">
        <f>(IF(UNIT="SI-Unit",18.3,65)-P37)/(IF(P41&gt;IF(UNIT="SI-Unit",-15,5),IF(UNIT="SI-Unit",36.1,65),IF(UNIT="SI-Unit",33.3,60)))/(1+I37*IF(P41&gt;IF(UNIT="SI-Unit",-15,5),0,1))</f>
        <v>0.30195190929843713</v>
      </c>
      <c r="F55" s="15" t="s">
        <v>106</v>
      </c>
      <c r="G55" s="15"/>
      <c r="H55" s="11"/>
      <c r="I55" s="150"/>
      <c r="J55" s="15"/>
      <c r="K55" s="15"/>
      <c r="L55" s="15"/>
      <c r="M55" s="15"/>
      <c r="N55" s="15"/>
      <c r="O55" s="11"/>
      <c r="P55" s="150"/>
      <c r="Q55" s="15"/>
      <c r="R55" s="15"/>
      <c r="S55" s="15"/>
      <c r="T55" s="15"/>
      <c r="U55" s="131"/>
    </row>
    <row r="56" spans="1:21">
      <c r="A56" s="220"/>
      <c r="B56" s="150"/>
      <c r="C56" s="15"/>
      <c r="D56" s="11"/>
      <c r="E56" s="150"/>
      <c r="F56" s="15"/>
      <c r="G56" s="15"/>
      <c r="H56" s="11"/>
      <c r="I56" s="150"/>
      <c r="J56" s="15"/>
      <c r="K56" s="15"/>
      <c r="L56" s="15"/>
      <c r="M56" s="15"/>
      <c r="N56" s="15"/>
      <c r="O56" s="11"/>
      <c r="P56" s="150"/>
      <c r="Q56" s="15"/>
      <c r="R56" s="15"/>
      <c r="S56" s="15"/>
      <c r="T56" s="15"/>
      <c r="U56" s="131"/>
    </row>
    <row r="57" spans="1:21">
      <c r="A57" s="243" t="s">
        <v>317</v>
      </c>
      <c r="B57" s="150"/>
      <c r="C57" s="15"/>
      <c r="D57" s="11"/>
      <c r="E57" s="150"/>
      <c r="F57" s="15"/>
      <c r="G57" s="15"/>
      <c r="H57" s="243" t="s">
        <v>316</v>
      </c>
      <c r="I57" s="150"/>
      <c r="J57" s="15"/>
      <c r="K57" s="15"/>
      <c r="L57" s="15"/>
      <c r="M57" s="15"/>
      <c r="N57" s="15"/>
      <c r="O57" s="11"/>
      <c r="P57" s="150"/>
      <c r="Q57" s="15"/>
      <c r="R57" s="15"/>
      <c r="S57" s="15"/>
      <c r="T57" s="15"/>
      <c r="U57" s="131"/>
    </row>
    <row r="58" spans="1:21" ht="13.5">
      <c r="A58" s="11" t="s">
        <v>311</v>
      </c>
      <c r="B58" s="208">
        <f>100-Others!E7+N101-R101-P27*(IF(SelectScenario!G10="YES",0,IF(SelectScenario!G11="YES",IF(SelectScenario!B27="Isolated",1.7,3.3),0)))-(E53/(E53+DATAINPUTcm!F79/DATAINPUTcm!M25/E68)*(B101+J101+B105+J105))</f>
        <v>95.879322911104595</v>
      </c>
      <c r="C58" s="15" t="s">
        <v>93</v>
      </c>
      <c r="D58" s="11"/>
      <c r="E58" s="150"/>
      <c r="F58" s="15"/>
      <c r="G58" s="15"/>
      <c r="H58" s="11" t="s">
        <v>318</v>
      </c>
      <c r="I58" s="208">
        <f>100-Others!E7+N100-R100-P27*(IF(SelectScenario!G10="YES",0,IF(SelectScenario!G11="YES",IF(SelectScenario!B27="Isolated",1.7,3.3),0)))-(E52/(E52+DATAINPUTcm!F79/DATAINPUTcm!F25/E67)*(B100+J100+B104+J104))</f>
        <v>95.575607011114244</v>
      </c>
      <c r="J58" s="15" t="s">
        <v>93</v>
      </c>
      <c r="K58" s="15"/>
      <c r="L58" s="15"/>
      <c r="M58" s="15"/>
      <c r="N58" s="15"/>
      <c r="O58" s="11"/>
      <c r="P58" s="150"/>
      <c r="Q58" s="15"/>
      <c r="R58" s="15"/>
      <c r="S58" s="15"/>
      <c r="T58" s="15"/>
      <c r="U58" s="131"/>
    </row>
    <row r="59" spans="1:21" ht="13.5">
      <c r="A59" s="11" t="s">
        <v>311</v>
      </c>
      <c r="B59" s="208">
        <f>100-Others!E7+N101-R101-P27*(IF(SelectScenario!G10="YES",0,IF(SelectScenario!G11="YES",IF(SelectScenario!B27="Isolated",1.7,3.3),0)))-(E53/(E53+DATAINPUTcm!F79/DATAINPUTcm!M25/E68)*(E28))</f>
        <v>96.911678128284407</v>
      </c>
      <c r="C59" s="243" t="s">
        <v>347</v>
      </c>
      <c r="D59" s="11"/>
      <c r="E59" s="150"/>
      <c r="F59" s="15"/>
      <c r="G59" s="15"/>
      <c r="H59" s="11" t="s">
        <v>318</v>
      </c>
      <c r="I59" s="208">
        <f>100-Others!E7+N100-R100-P27*(IF(SelectScenario!G10="YES",0,IF(SelectScenario!G11="YES",IF(SelectScenario!B27="Isolated",1.7,3.3),0)))-(E52/(E52+DATAINPUTcm!F79/DATAINPUTcm!F25/E67)*(E27))</f>
        <v>96.859911652601355</v>
      </c>
      <c r="J59" s="243" t="s">
        <v>347</v>
      </c>
      <c r="K59" s="15"/>
      <c r="L59" s="15"/>
      <c r="M59" s="15"/>
      <c r="N59" s="15"/>
      <c r="O59" s="11"/>
      <c r="P59" s="150"/>
      <c r="Q59" s="15"/>
      <c r="R59" s="15"/>
      <c r="S59" s="15"/>
      <c r="T59" s="15"/>
      <c r="U59" s="131"/>
    </row>
    <row r="60" spans="1:21" ht="12.75" thickBot="1">
      <c r="A60" s="220"/>
      <c r="B60" s="150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31"/>
    </row>
    <row r="61" spans="1:21" ht="12.75" thickBot="1">
      <c r="A61" s="225" t="s">
        <v>218</v>
      </c>
      <c r="B61" s="228"/>
      <c r="C61" s="229"/>
      <c r="D61" s="229"/>
      <c r="E61" s="229"/>
      <c r="F61" s="229"/>
      <c r="G61" s="229"/>
      <c r="H61" s="229"/>
      <c r="I61" s="229"/>
      <c r="J61" s="229"/>
      <c r="K61" s="229"/>
      <c r="L61" s="229"/>
      <c r="M61" s="229"/>
      <c r="N61" s="229"/>
      <c r="O61" s="229"/>
      <c r="P61" s="229"/>
      <c r="Q61" s="229"/>
      <c r="R61" s="229"/>
      <c r="S61" s="229"/>
      <c r="T61" s="229"/>
      <c r="U61" s="230"/>
    </row>
    <row r="62" spans="1:21">
      <c r="A62" s="216" t="s">
        <v>174</v>
      </c>
      <c r="B62" s="145"/>
      <c r="C62" s="145"/>
      <c r="D62" s="145"/>
      <c r="E62" s="145"/>
      <c r="F62" s="145"/>
      <c r="G62" s="15"/>
      <c r="H62" s="145" t="s">
        <v>194</v>
      </c>
      <c r="I62" s="145"/>
      <c r="J62" s="145"/>
      <c r="K62" s="145"/>
      <c r="L62" s="145"/>
      <c r="M62" s="145"/>
      <c r="N62" s="15"/>
      <c r="O62" s="15"/>
      <c r="P62" s="15"/>
      <c r="Q62" s="15"/>
      <c r="R62" s="15"/>
      <c r="S62" s="15"/>
      <c r="T62" s="15"/>
      <c r="U62" s="131"/>
    </row>
    <row r="63" spans="1:21" ht="13.5">
      <c r="A63" s="217" t="s">
        <v>175</v>
      </c>
      <c r="B63" s="149">
        <f>KS1OFF(DATAINPUTcm!F33,P48,DATAINPUTcm!F58,B75,B71,P19,B48,I48,1,1,1,SYSTEMNUMBER,UNIT,P38)</f>
        <v>3.2468904901997324</v>
      </c>
      <c r="C63" s="15" t="s">
        <v>106</v>
      </c>
      <c r="D63" s="15"/>
      <c r="E63" s="15"/>
      <c r="F63" s="15"/>
      <c r="G63" s="15"/>
      <c r="H63" s="11" t="s">
        <v>196</v>
      </c>
      <c r="I63" s="149">
        <f>KS1OFF(DATAINPUTcm!F33,P48,DATAINPUTcm!F58,B75,B71,P19,B48,I48,1,1,2,SYSTEMNUMBER,UNIT,P38)</f>
        <v>1.0989355263383831</v>
      </c>
      <c r="J63" s="15" t="s">
        <v>106</v>
      </c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31"/>
    </row>
    <row r="64" spans="1:21" ht="13.5">
      <c r="A64" s="217" t="s">
        <v>300</v>
      </c>
      <c r="B64" s="208">
        <f>KS1OFF(DATAINPUTcm!M33,P49,DATAINPUTcm!M58,B76,B71,P20,B49,I49,1,1,1,SYSTEMNUMBER,UNIT,P37)</f>
        <v>4.5173770920204159</v>
      </c>
      <c r="C64" s="15" t="s">
        <v>106</v>
      </c>
      <c r="D64" s="15"/>
      <c r="E64" s="15"/>
      <c r="F64" s="15"/>
      <c r="G64" s="15"/>
      <c r="H64" s="11" t="s">
        <v>301</v>
      </c>
      <c r="I64" s="208">
        <f>KS1OFF(DATAINPUTcm!M33,P49,DATAINPUTcm!M54,B75,B71,P20,B49,I49,1,1,2,SYSTEMNUMBER,UNIT,P37)</f>
        <v>2.0217407641757785</v>
      </c>
      <c r="J64" s="15" t="s">
        <v>106</v>
      </c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31"/>
    </row>
    <row r="65" spans="1:21">
      <c r="A65" s="158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31"/>
    </row>
    <row r="66" spans="1:21">
      <c r="A66" s="216" t="s">
        <v>118</v>
      </c>
      <c r="B66" s="145"/>
      <c r="C66" s="145"/>
      <c r="D66" s="145"/>
      <c r="E66" s="145"/>
      <c r="F66" s="145"/>
      <c r="G66" s="15"/>
      <c r="H66" s="145" t="s">
        <v>125</v>
      </c>
      <c r="I66" s="145"/>
      <c r="J66" s="145"/>
      <c r="K66" s="145"/>
      <c r="L66" s="145"/>
      <c r="M66" s="145"/>
      <c r="N66" s="15"/>
      <c r="O66" s="145" t="s">
        <v>128</v>
      </c>
      <c r="P66" s="145"/>
      <c r="Q66" s="145"/>
      <c r="R66" s="145"/>
      <c r="S66" s="145"/>
      <c r="T66" s="145"/>
      <c r="U66" s="131"/>
    </row>
    <row r="67" spans="1:21" ht="13.5">
      <c r="A67" s="220" t="s">
        <v>157</v>
      </c>
      <c r="B67" s="149">
        <f>(9-1.5)/LN((DATAINPUTcm!F67-DATAINPUTcm!F75)/(DATAINPUTcm!F71-DATAINPUTcm!F75))</f>
        <v>18.828610567547628</v>
      </c>
      <c r="C67" s="15" t="s">
        <v>117</v>
      </c>
      <c r="D67" s="11" t="s">
        <v>291</v>
      </c>
      <c r="E67" s="378">
        <f>E52*(1/E54-1)</f>
        <v>5.1000000000000005</v>
      </c>
      <c r="F67" s="15" t="s">
        <v>117</v>
      </c>
      <c r="G67" s="15"/>
      <c r="H67" s="11" t="s">
        <v>164</v>
      </c>
      <c r="I67" s="149">
        <f>IF(SelectScenario!G58="YES",(E67-DATAINPUTcm!H86)/B67,E67/B67)</f>
        <v>0.2708643838430751</v>
      </c>
      <c r="J67" s="15" t="s">
        <v>106</v>
      </c>
      <c r="K67" s="15">
        <f>B67/E67</f>
        <v>3.6918844250093383</v>
      </c>
      <c r="L67" s="15"/>
      <c r="M67" s="15"/>
      <c r="N67" s="15"/>
      <c r="O67" s="11" t="s">
        <v>167</v>
      </c>
      <c r="P67" s="149">
        <f>IF(SelectScenario!G59="YES",1,0.9)*(1-(B91/EXP(I52))/(DATAINPUTcm!F33-DATAINPUTcm!F75))/(1-(B91*B79/EXP(I52+I67))/(DATAINPUTcm!F33-DATAINPUTcm!F75)^2)</f>
        <v>0.79590710141151821</v>
      </c>
      <c r="Q67" s="15" t="s">
        <v>106</v>
      </c>
      <c r="R67" s="15"/>
      <c r="S67" s="15"/>
      <c r="T67" s="15"/>
      <c r="U67" s="131"/>
    </row>
    <row r="68" spans="1:21" ht="13.5">
      <c r="A68" s="220" t="s">
        <v>284</v>
      </c>
      <c r="B68" s="208">
        <f>(9-1.5)/LN((DATAINPUTcm!M67-DATAINPUTcm!M75)/(DATAINPUTcm!M71-DATAINPUTcm!M75))</f>
        <v>2643.7482269489155</v>
      </c>
      <c r="C68" s="15" t="s">
        <v>117</v>
      </c>
      <c r="D68" s="11" t="s">
        <v>292</v>
      </c>
      <c r="E68" s="208">
        <f>E53*(1/E55-1)</f>
        <v>9.9353569479665733</v>
      </c>
      <c r="F68" s="15" t="s">
        <v>117</v>
      </c>
      <c r="G68" s="15"/>
      <c r="H68" s="11" t="s">
        <v>293</v>
      </c>
      <c r="I68" s="208">
        <f>IF(SelectScenario!G58="YES",(E68-DATAINPUTcm!H86)/B68,E68/B68)</f>
        <v>3.7580571578983992E-3</v>
      </c>
      <c r="J68" s="15" t="s">
        <v>106</v>
      </c>
      <c r="K68" s="15"/>
      <c r="L68" s="15"/>
      <c r="M68" s="15"/>
      <c r="N68" s="15"/>
      <c r="O68" s="11" t="s">
        <v>294</v>
      </c>
      <c r="P68" s="208">
        <f>IF(SelectScenario!G59="YES",1,0.9)*(1-(B92/EXP(I53))/(DATAINPUTcm!M33-DATAINPUTcm!M75))/(1-(B92*B80/EXP(I53+I69))/(DATAINPUTcm!M33-DATAINPUTcm!M75)^2)</f>
        <v>0.82617182157624491</v>
      </c>
      <c r="Q68" s="15" t="s">
        <v>106</v>
      </c>
      <c r="R68" s="15"/>
      <c r="S68" s="15"/>
      <c r="T68" s="15"/>
      <c r="U68" s="131"/>
    </row>
    <row r="69" spans="1:21">
      <c r="A69" s="220"/>
      <c r="B69" s="150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31"/>
    </row>
    <row r="70" spans="1:21">
      <c r="A70" s="216" t="s">
        <v>219</v>
      </c>
      <c r="B70" s="145"/>
      <c r="C70" s="145"/>
      <c r="D70" s="145"/>
      <c r="E70" s="145"/>
      <c r="F70" s="145"/>
      <c r="G70" s="15"/>
      <c r="H70" s="15"/>
      <c r="I70" s="15"/>
      <c r="J70" s="15"/>
      <c r="K70" s="15"/>
      <c r="L70" s="15"/>
      <c r="M70" s="15"/>
      <c r="N70" s="15"/>
      <c r="O70" s="11"/>
      <c r="P70" s="11"/>
      <c r="Q70" s="151"/>
      <c r="R70" s="15"/>
      <c r="S70" s="15"/>
      <c r="T70" s="15"/>
      <c r="U70" s="131"/>
    </row>
    <row r="71" spans="1:21" ht="13.5">
      <c r="A71" s="217" t="s">
        <v>158</v>
      </c>
      <c r="B71" s="147">
        <f>IF(B72="NO",0.05,IF(OR(AND(SYSTEMNUMBER=1,OR(SelectScenario!G15="YES",SelectScenario!G18="YES")),SYSTEMNUMBER=9),1,IF(OR(SYSTEMNUMBER=2,SYSTEMNUMBER=3,SYSTEMNUMBER=4,SYSTEMNUMBER=8,SYSTEMNUMBER=10),0.4,1)))</f>
        <v>0.4</v>
      </c>
      <c r="C71" s="15" t="s">
        <v>106</v>
      </c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1"/>
      <c r="P71" s="11"/>
      <c r="Q71" s="151"/>
      <c r="R71" s="15"/>
      <c r="S71" s="15"/>
      <c r="T71" s="15"/>
      <c r="U71" s="131"/>
    </row>
    <row r="72" spans="1:21">
      <c r="A72" s="217" t="s">
        <v>16</v>
      </c>
      <c r="B72" s="142" t="s">
        <v>18</v>
      </c>
      <c r="C72" s="151" t="s">
        <v>159</v>
      </c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1"/>
      <c r="P72" s="11"/>
      <c r="Q72" s="151"/>
      <c r="R72" s="15"/>
      <c r="S72" s="15"/>
      <c r="T72" s="15"/>
      <c r="U72" s="131"/>
    </row>
    <row r="73" spans="1:21">
      <c r="A73" s="220"/>
      <c r="B73" s="150"/>
      <c r="C73" s="15"/>
      <c r="D73" s="15"/>
      <c r="E73" s="15"/>
      <c r="F73" s="15"/>
      <c r="G73" s="15"/>
      <c r="H73" s="221"/>
      <c r="I73" s="150"/>
      <c r="J73" s="15"/>
      <c r="K73" s="15"/>
      <c r="L73" s="15"/>
      <c r="M73" s="15"/>
      <c r="N73" s="15"/>
      <c r="O73" s="11"/>
      <c r="P73" s="15"/>
      <c r="Q73" s="151"/>
      <c r="R73" s="15"/>
      <c r="S73" s="15"/>
      <c r="T73" s="15"/>
      <c r="U73" s="131"/>
    </row>
    <row r="74" spans="1:21">
      <c r="A74" s="158" t="s">
        <v>129</v>
      </c>
      <c r="B74" s="150"/>
      <c r="C74" s="15"/>
      <c r="D74" s="15"/>
      <c r="E74" s="15"/>
      <c r="F74" s="15"/>
      <c r="G74" s="15"/>
      <c r="H74" s="237"/>
      <c r="I74" s="237"/>
      <c r="J74" s="237"/>
      <c r="K74" s="237"/>
      <c r="L74" s="237"/>
      <c r="M74" s="235"/>
      <c r="N74" s="15"/>
      <c r="O74" s="145" t="s">
        <v>122</v>
      </c>
      <c r="P74" s="145"/>
      <c r="Q74" s="145"/>
      <c r="R74" s="145"/>
      <c r="S74" s="145"/>
      <c r="T74" s="145"/>
      <c r="U74" s="131"/>
    </row>
    <row r="75" spans="1:21" ht="15">
      <c r="A75" s="222" t="s">
        <v>130</v>
      </c>
      <c r="B75" s="234">
        <f>IF(SYSTEMNUMBER=3,0.4,1)</f>
        <v>0.4</v>
      </c>
      <c r="C75" s="183" t="s">
        <v>106</v>
      </c>
      <c r="D75" s="182"/>
      <c r="E75" s="184"/>
      <c r="F75" s="183"/>
      <c r="G75" s="11"/>
      <c r="H75" s="272" t="s">
        <v>144</v>
      </c>
      <c r="I75" s="273">
        <f>DOIDS(B67,DATAINPUTcm!R43,DATAINPUTcm!R46,P87,P79,B83,P19,B71,P75,DATAINPUTcm!W43,DATAINPUTcm!W46,DATAINPUTcm!W49,DATAINPUTcm!W52,DATAINPUTcm!W55,1,E67)</f>
        <v>0.98440782373366864</v>
      </c>
      <c r="J75" s="274" t="s">
        <v>106</v>
      </c>
      <c r="K75" s="275" t="s">
        <v>195</v>
      </c>
      <c r="L75" s="273">
        <f>DOIDS(B67,DATAINPUTncm!R43,DATAINPUTncm!R46,AFUEAcm!P87,P79,AFUEAcm!B83,AFUEAcm!P19,AFUEAcm!B71,P75,DATAINPUTncm!W43,DATAINPUTncm!W46,DATAINPUTncm!W49,DATAINPUTncm!W52,DATAINPUTncm!W55,2,E67)</f>
        <v>0.9820972237475537</v>
      </c>
      <c r="M75" s="274" t="s">
        <v>106</v>
      </c>
      <c r="N75" s="15"/>
      <c r="O75" s="11" t="s">
        <v>123</v>
      </c>
      <c r="P75" s="152">
        <f>IF(SYSTEMNUMBER=3,0.4,IF(OR(SYSTEMNUMBER=4,SYSTEMNUMBER=8),0.85,1))</f>
        <v>0.4</v>
      </c>
      <c r="Q75" s="15" t="s">
        <v>106</v>
      </c>
      <c r="R75" s="15"/>
      <c r="S75" s="15"/>
      <c r="T75" s="15"/>
      <c r="U75" s="131"/>
    </row>
    <row r="76" spans="1:21" ht="13.5">
      <c r="A76" s="11" t="s">
        <v>336</v>
      </c>
      <c r="B76" s="234">
        <f>IF(OR(SYSTEMNUMBER=1,SYSTEMNUMBER=2),1,IF(SYSTEMNUMBER=3,0.4,IF(SYSTEMNUMBER=4,0.85,IF(OR(SYSTEMNUMBER=5,SYSTEMNUMBER=6),I76,IF(SYSTEMNUMBER=8,0.85*I75,0)))))</f>
        <v>0.4</v>
      </c>
      <c r="C76" s="15" t="s">
        <v>106</v>
      </c>
      <c r="D76" s="11"/>
      <c r="E76" s="150"/>
      <c r="F76" s="15"/>
      <c r="G76" s="11"/>
      <c r="H76" s="276" t="s">
        <v>337</v>
      </c>
      <c r="I76" s="273">
        <f>DOIDS(B68,DATAINPUTcm!R43,DATAINPUTcm!R46,P88,P80,B84,P20,B71,P75,DATAINPUTcm!W43,DATAINPUTcm!W46,DATAINPUTcm!W49,DATAINPUTcm!W52,DATAINPUTcm!W55,1,E68)</f>
        <v>0.54347669559422562</v>
      </c>
      <c r="J76" s="237" t="s">
        <v>106</v>
      </c>
      <c r="K76" s="11"/>
      <c r="L76" s="264"/>
      <c r="M76" s="15"/>
      <c r="N76" s="15"/>
      <c r="O76" s="11"/>
      <c r="P76" s="264"/>
      <c r="Q76" s="15"/>
      <c r="R76" s="15"/>
      <c r="S76" s="15"/>
      <c r="T76" s="15"/>
      <c r="U76" s="131"/>
    </row>
    <row r="77" spans="1:21">
      <c r="A77" s="220"/>
      <c r="B77" s="150"/>
      <c r="C77" s="15"/>
      <c r="D77" s="15"/>
      <c r="E77" s="15"/>
      <c r="F77" s="15"/>
      <c r="G77" s="15"/>
      <c r="H77" s="11"/>
      <c r="I77" s="153"/>
      <c r="J77" s="15"/>
      <c r="K77" s="15"/>
      <c r="L77" s="15"/>
      <c r="M77" s="15"/>
      <c r="N77" s="15"/>
      <c r="O77" s="11"/>
      <c r="P77" s="15"/>
      <c r="Q77" s="15"/>
      <c r="R77" s="15"/>
      <c r="S77" s="15"/>
      <c r="T77" s="15"/>
      <c r="U77" s="131"/>
    </row>
    <row r="78" spans="1:21">
      <c r="A78" s="216" t="s">
        <v>221</v>
      </c>
      <c r="B78" s="145"/>
      <c r="C78" s="145"/>
      <c r="D78" s="145"/>
      <c r="E78" s="145"/>
      <c r="F78" s="145"/>
      <c r="G78" s="15"/>
      <c r="H78" s="145" t="s">
        <v>222</v>
      </c>
      <c r="I78" s="145"/>
      <c r="J78" s="145"/>
      <c r="K78" s="145"/>
      <c r="L78" s="145"/>
      <c r="M78" s="145"/>
      <c r="N78" s="15"/>
      <c r="O78" s="145" t="s">
        <v>225</v>
      </c>
      <c r="P78" s="145"/>
      <c r="Q78" s="145"/>
      <c r="R78" s="145"/>
      <c r="S78" s="145"/>
      <c r="T78" s="145"/>
      <c r="U78" s="131"/>
    </row>
    <row r="79" spans="1:21" ht="13.5">
      <c r="A79" s="220" t="s">
        <v>160</v>
      </c>
      <c r="B79" s="146">
        <f>(DATAINPUTcm!F67-DATAINPUTcm!F75)*EXP(DATAINPUTcm!A66/AFUEAcm!B67)</f>
        <v>20.870136479214878</v>
      </c>
      <c r="C79" s="15" t="str">
        <f>IF(UNIT="SI-Unit","C-Degree","F-Degree")</f>
        <v>F-Degree</v>
      </c>
      <c r="D79" s="15"/>
      <c r="E79" s="15"/>
      <c r="F79" s="15"/>
      <c r="G79" s="15"/>
      <c r="H79" s="221" t="s">
        <v>161</v>
      </c>
      <c r="I79" s="146">
        <f>DATAINPUTcm!F75-DATAINPUTcm!F58</f>
        <v>0</v>
      </c>
      <c r="J79" s="15" t="str">
        <f>IF(UNIT="SI-Unit","C-Degree","F-Degree")</f>
        <v>F-Degree</v>
      </c>
      <c r="K79" s="15"/>
      <c r="L79" s="15"/>
      <c r="M79" s="15"/>
      <c r="N79" s="15"/>
      <c r="O79" s="221" t="s">
        <v>168</v>
      </c>
      <c r="P79" s="146">
        <f>IF(SYSTEMNUMBER&lt;9,B79*P67,1.22*P67*B79)</f>
        <v>16.610689831234701</v>
      </c>
      <c r="Q79" s="15" t="str">
        <f>IF(UNIT="SI-Unit","C-Degree","F-Degree")</f>
        <v>F-Degree</v>
      </c>
      <c r="R79" s="15"/>
      <c r="S79" s="15"/>
      <c r="T79" s="15"/>
      <c r="U79" s="131"/>
    </row>
    <row r="80" spans="1:21" ht="13.5">
      <c r="A80" s="220" t="s">
        <v>285</v>
      </c>
      <c r="B80" s="207">
        <f>(DATAINPUTcm!M67-DATAINPUTcm!M75)*EXP(DATAINPUTcm!H66/AFUEAcm!B68)</f>
        <v>14.128013626046249</v>
      </c>
      <c r="C80" s="15" t="str">
        <f>IF(UNIT="SI-Unit","C-Degree","F-Degree")</f>
        <v>F-Degree</v>
      </c>
      <c r="D80" s="15"/>
      <c r="E80" s="15"/>
      <c r="F80" s="15"/>
      <c r="G80" s="15"/>
      <c r="H80" s="221" t="s">
        <v>286</v>
      </c>
      <c r="I80" s="207">
        <f>DATAINPUTcm!M75-DATAINPUTcm!M58</f>
        <v>0</v>
      </c>
      <c r="J80" s="15" t="str">
        <f>IF(UNIT="SI-Unit","C-Degree","F-Degree")</f>
        <v>F-Degree</v>
      </c>
      <c r="K80" s="15"/>
      <c r="L80" s="15"/>
      <c r="M80" s="15"/>
      <c r="N80" s="15"/>
      <c r="O80" s="221" t="s">
        <v>295</v>
      </c>
      <c r="P80" s="207">
        <f>IF(SYSTEMNUMBER&lt;9,B80*P68,1.22*P68*B80)</f>
        <v>11.672166752684639</v>
      </c>
      <c r="Q80" s="15" t="str">
        <f>IF(UNIT="SI-Unit","C-Degree","F-Degree")</f>
        <v>F-Degree</v>
      </c>
      <c r="R80" s="15"/>
      <c r="S80" s="15"/>
      <c r="T80" s="15"/>
      <c r="U80" s="131"/>
    </row>
    <row r="81" spans="1:25">
      <c r="A81" s="158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31"/>
    </row>
    <row r="82" spans="1:25" ht="12.75">
      <c r="A82" s="216" t="s">
        <v>224</v>
      </c>
      <c r="B82" s="145"/>
      <c r="C82" s="145"/>
      <c r="D82" s="145"/>
      <c r="E82" s="145"/>
      <c r="F82" s="14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31"/>
    </row>
    <row r="83" spans="1:25" ht="13.5">
      <c r="A83" s="220" t="s">
        <v>169</v>
      </c>
      <c r="B83" s="146">
        <f>IF(SYSTEMNUMBER&lt;9,I79,1.22*I79)</f>
        <v>0</v>
      </c>
      <c r="C83" s="15" t="str">
        <f>IF(UNIT="SI-Unit","C-Degree","F-Degree")</f>
        <v>F-Degree</v>
      </c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31"/>
    </row>
    <row r="84" spans="1:25" ht="13.5">
      <c r="A84" s="220" t="s">
        <v>296</v>
      </c>
      <c r="B84" s="207">
        <f>IF(SYSTEMNUMBER&lt;9,I80,1.22*I80)</f>
        <v>0</v>
      </c>
      <c r="C84" s="15" t="str">
        <f>IF(UNIT="SI-Unit","C-Degree","F-Degree")</f>
        <v>F-Degree</v>
      </c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31"/>
    </row>
    <row r="85" spans="1:25">
      <c r="A85" s="158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31"/>
    </row>
    <row r="86" spans="1:25" ht="12.75">
      <c r="A86" s="261" t="s">
        <v>253</v>
      </c>
      <c r="B86" s="235"/>
      <c r="C86" s="235"/>
      <c r="D86" s="145"/>
      <c r="E86" s="145"/>
      <c r="F86" s="145"/>
      <c r="G86" s="15"/>
      <c r="H86" s="145" t="s">
        <v>223</v>
      </c>
      <c r="I86" s="145"/>
      <c r="J86" s="145"/>
      <c r="K86" s="145"/>
      <c r="L86" s="145"/>
      <c r="M86" s="145"/>
      <c r="N86" s="15"/>
      <c r="O86" s="235" t="s">
        <v>255</v>
      </c>
      <c r="P86" s="235"/>
      <c r="Q86" s="235"/>
      <c r="R86" s="145"/>
      <c r="S86" s="145"/>
      <c r="T86" s="145"/>
      <c r="U86" s="131"/>
    </row>
    <row r="87" spans="1:25" ht="13.5">
      <c r="A87" s="262" t="s">
        <v>254</v>
      </c>
      <c r="B87" s="260">
        <f>IF(AND(SYSTEMNUMBER&gt;4,SYSTEMNUMBER&lt;9,P19*P75&lt;=B71),B79,B71*B79/P19/P75)</f>
        <v>20.870136479214878</v>
      </c>
      <c r="C87" s="237" t="str">
        <f>IF(UNIT="SI-Unit","C-Degree","F-Degree")</f>
        <v>F-Degree</v>
      </c>
      <c r="D87" s="15"/>
      <c r="E87" s="15"/>
      <c r="F87" s="15"/>
      <c r="G87" s="15"/>
      <c r="H87" s="221" t="s">
        <v>162</v>
      </c>
      <c r="I87" s="147">
        <f>IF(AND(P75*P19&lt;B71,SYSTEMNUMBER=5,,SYSTEMNUMBER=6,,SYSTEMNUMBER=8),I79,B71*I79/(P19*P75))</f>
        <v>0</v>
      </c>
      <c r="J87" s="15" t="str">
        <f>IF(UNIT="SI-Unit","C-Degree","F-Degree")</f>
        <v>F-Degree</v>
      </c>
      <c r="K87" s="15"/>
      <c r="L87" s="15"/>
      <c r="M87" s="15"/>
      <c r="N87" s="15"/>
      <c r="O87" s="263" t="s">
        <v>256</v>
      </c>
      <c r="P87" s="260">
        <f>B87*P67</f>
        <v>16.610689831234701</v>
      </c>
      <c r="Q87" s="237" t="str">
        <f>IF(UNIT="SI-Unit","C-Degree","F-Degree")</f>
        <v>F-Degree</v>
      </c>
      <c r="R87" s="15"/>
      <c r="S87" s="15"/>
      <c r="T87" s="15"/>
      <c r="U87" s="131"/>
    </row>
    <row r="88" spans="1:25" ht="13.5">
      <c r="A88" s="262" t="s">
        <v>345</v>
      </c>
      <c r="B88" s="266">
        <f>IF(AND(SYSTEMNUMBER&gt;4,SYSTEMNUMBER&lt;9,P20*P75&lt;=B71),B80,B71*B80/P20/P75)</f>
        <v>14.128013626046249</v>
      </c>
      <c r="C88" s="237" t="str">
        <f>IF(UNIT="SI-Unit","C-Degree","F-Degree")</f>
        <v>F-Degree</v>
      </c>
      <c r="D88" s="15"/>
      <c r="E88" s="15"/>
      <c r="F88" s="15"/>
      <c r="G88" s="15"/>
      <c r="H88" s="221" t="s">
        <v>287</v>
      </c>
      <c r="I88" s="130">
        <f>IF(AND(P75*P20&lt;B71,SYSTEMNUMBER=5,,SYSTEMNUMBER=6,,SYSTEMNUMBER=8),I80,B71*I80/(P20*P75))</f>
        <v>0</v>
      </c>
      <c r="J88" s="15" t="str">
        <f>IF(UNIT="SI-Unit","C-Degree","F-Degree")</f>
        <v>F-Degree</v>
      </c>
      <c r="K88" s="15"/>
      <c r="L88" s="15"/>
      <c r="M88" s="15"/>
      <c r="N88" s="15"/>
      <c r="O88" s="263" t="s">
        <v>344</v>
      </c>
      <c r="P88" s="266">
        <f>B88*P68</f>
        <v>11.672166752684639</v>
      </c>
      <c r="Q88" s="237" t="str">
        <f>IF(UNIT="SI-Unit","C-Degree","F-Degree")</f>
        <v>F-Degree</v>
      </c>
      <c r="R88" s="15"/>
      <c r="S88" s="15"/>
      <c r="T88" s="15"/>
      <c r="U88" s="131"/>
    </row>
    <row r="89" spans="1:25">
      <c r="A89" s="158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31"/>
    </row>
    <row r="90" spans="1:25">
      <c r="A90" s="216" t="s">
        <v>227</v>
      </c>
      <c r="B90" s="145"/>
      <c r="C90" s="145"/>
      <c r="D90" s="145"/>
      <c r="E90" s="145"/>
      <c r="F90" s="145"/>
      <c r="G90" s="15"/>
      <c r="H90" s="15"/>
      <c r="I90" s="15"/>
      <c r="J90" s="15"/>
      <c r="K90" s="15"/>
      <c r="L90" s="15"/>
      <c r="M90" s="15"/>
      <c r="N90" s="15"/>
      <c r="O90" s="15" t="s">
        <v>228</v>
      </c>
      <c r="P90" s="15"/>
      <c r="Q90" s="15"/>
      <c r="R90" s="15"/>
      <c r="S90" s="15"/>
      <c r="T90" s="15"/>
      <c r="U90" s="131"/>
    </row>
    <row r="91" spans="1:25" ht="13.5">
      <c r="A91" s="220" t="s">
        <v>165</v>
      </c>
      <c r="B91" s="146">
        <f>(DATAINPUTcm!F33-DATAINPUTcm!F97)*EXP(DATAINPUTcm!A97/AFUEAcm!B52)</f>
        <v>12.452571359824908</v>
      </c>
      <c r="C91" s="15" t="str">
        <f>IF(UNIT="SI-Unit","C-Degree","F-Degree")</f>
        <v>F-Degree</v>
      </c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21" t="s">
        <v>173</v>
      </c>
      <c r="P91" s="376">
        <f>IF(SYSTEMNUMBER&lt;9,P52*B91,P52*B96*B91)</f>
        <v>5.2771761840025784</v>
      </c>
      <c r="Q91" s="15" t="str">
        <f>IF(UNIT="SI-Unit","C-Degree","F-Degree")</f>
        <v>F-Degree</v>
      </c>
      <c r="R91" s="15"/>
      <c r="S91" s="15"/>
      <c r="T91" s="15"/>
      <c r="U91" s="131"/>
    </row>
    <row r="92" spans="1:25" ht="13.5">
      <c r="A92" s="220" t="s">
        <v>283</v>
      </c>
      <c r="B92" s="207">
        <f>(DATAINPUTcm!M33-DATAINPUTcm!M97)*EXP(DATAINPUTcm!H97/B53)</f>
        <v>9.3923414859562353</v>
      </c>
      <c r="C92" s="15" t="str">
        <f>IF(UNIT="SI-Unit","C-Degree","F-Degree")</f>
        <v>F-Degree</v>
      </c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21" t="s">
        <v>299</v>
      </c>
      <c r="P92" s="207">
        <f>IF(SYSTEMNUMBER&lt;9,P53*B92,P53*B97*B92)</f>
        <v>2.3101433151092641</v>
      </c>
      <c r="Q92" s="15" t="str">
        <f>IF(UNIT="SI-Unit","C-Degree","F-Degree")</f>
        <v>F-Degree</v>
      </c>
      <c r="R92" s="15"/>
      <c r="S92" s="15"/>
      <c r="T92" s="15"/>
      <c r="U92" s="131"/>
    </row>
    <row r="93" spans="1:25" ht="12.75" thickBot="1">
      <c r="A93" s="158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31"/>
    </row>
    <row r="94" spans="1:25" ht="14.25" thickBot="1">
      <c r="A94" s="225" t="s">
        <v>233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6"/>
      <c r="P94" s="226"/>
      <c r="Q94" s="226"/>
      <c r="R94" s="226"/>
      <c r="S94" s="226"/>
      <c r="T94" s="226"/>
      <c r="U94" s="227"/>
      <c r="V94" s="215"/>
      <c r="W94" s="215"/>
      <c r="X94" s="215"/>
      <c r="Y94" s="215"/>
    </row>
    <row r="95" spans="1:25">
      <c r="A95" s="158" t="s">
        <v>171</v>
      </c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31"/>
    </row>
    <row r="96" spans="1:25">
      <c r="A96" s="217" t="s">
        <v>172</v>
      </c>
      <c r="B96" s="130">
        <f>IF(SYSTEMNUMBER&lt;9,1,1+(IF(UNIT="SI-Unit",21.1,70)-P38)*S31/100/(DATAINPUTcm!M33-DATAINPUTcm!M58))</f>
        <v>1</v>
      </c>
      <c r="C96" s="15" t="s">
        <v>106</v>
      </c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31"/>
    </row>
    <row r="97" spans="1:21" ht="13.5">
      <c r="A97" s="217" t="s">
        <v>298</v>
      </c>
      <c r="B97" s="130">
        <f>IF(SYSTEMNUMBER&lt;9,1,1+(IF(UNIT="SI-Unit",21.1,70)-P37)*S32/100/(DATAINPUTcm!M33-DATAINPUTcm!M58))</f>
        <v>1</v>
      </c>
      <c r="C97" s="15" t="s">
        <v>106</v>
      </c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31"/>
    </row>
    <row r="98" spans="1:21">
      <c r="A98" s="158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31"/>
    </row>
    <row r="99" spans="1:21">
      <c r="A99" s="158" t="s">
        <v>197</v>
      </c>
      <c r="B99" s="15"/>
      <c r="C99" s="15"/>
      <c r="D99" s="15"/>
      <c r="E99" s="15"/>
      <c r="F99" s="15"/>
      <c r="G99" s="15"/>
      <c r="H99" s="15"/>
      <c r="I99" s="15" t="s">
        <v>198</v>
      </c>
      <c r="J99" s="15"/>
      <c r="K99" s="15"/>
      <c r="L99" s="15"/>
      <c r="M99" s="15" t="s">
        <v>351</v>
      </c>
      <c r="N99" s="15"/>
      <c r="O99" s="15"/>
      <c r="P99" s="15"/>
      <c r="Q99" s="15" t="s">
        <v>246</v>
      </c>
      <c r="R99" s="15"/>
      <c r="S99" s="15"/>
      <c r="T99" s="15"/>
      <c r="U99" s="131"/>
    </row>
    <row r="100" spans="1:21" ht="13.5">
      <c r="A100" s="217" t="s">
        <v>229</v>
      </c>
      <c r="B100" s="376">
        <f>IF(SYSTEMNUMBER&lt;9,B27-(B48*P91/I52*(1-1/EXP(I52))),B96*B27-B48*P91/I52*(1-1/EXP(I52)))</f>
        <v>0.58895306193511865</v>
      </c>
      <c r="C100" s="15" t="s">
        <v>93</v>
      </c>
      <c r="D100" s="15"/>
      <c r="E100" s="15"/>
      <c r="F100" s="15"/>
      <c r="G100" s="15"/>
      <c r="H100" s="15"/>
      <c r="I100" s="11" t="s">
        <v>230</v>
      </c>
      <c r="J100" s="376">
        <f>IF(SelectScenario!G58="NO", LSOFF(B63,I67,P79,P87,B83,I87,SYSTEMNUMBER,E52,E67),LSOFFTP(DATAINPUTncm!F25,P23,DATAINPUTcm!A86,DATAINPUTcm!F33,DATAINPUTcm!F58,DATAINPUTcm!F87,DATAINPUTcm!F86,B63,I67,P79,P87,B83,I87,P67,SYSTEMNUMBER,UNIT,E52,E67))</f>
        <v>7.432558832794807E-6</v>
      </c>
      <c r="K100" s="15" t="s">
        <v>93</v>
      </c>
      <c r="L100" s="15"/>
      <c r="M100" s="11" t="s">
        <v>245</v>
      </c>
      <c r="N100" s="186">
        <f>100*IF(UNIT="SI-Unit",2450,1053.3)*DATAINPUTcm!F121/(DATAINPUTcm!F116*IF(UNIT="SI-Unit",Others!C7,Others!B7))</f>
        <v>7.0140933162089416</v>
      </c>
      <c r="O100" s="15" t="s">
        <v>93</v>
      </c>
      <c r="P100" s="15"/>
      <c r="Q100" s="11" t="s">
        <v>247</v>
      </c>
      <c r="R100" s="377">
        <f>N100*(IF(UNIT="SI-Unit",4.187,1)*(DATAINPUTcm!F33-IF(UNIT="SI-Unit",21.1,70))-IF(UNIT="SI-Unit",1.88,0.45)*(DATAINPUTcm!F33-P38))/IF(UNIT="SI-Unit",2450,1053.3)</f>
        <v>-8.8347076831049143E-2</v>
      </c>
      <c r="S100" s="15" t="s">
        <v>93</v>
      </c>
      <c r="T100" s="15"/>
      <c r="U100" s="131"/>
    </row>
    <row r="101" spans="1:21" ht="13.5">
      <c r="A101" s="217" t="s">
        <v>312</v>
      </c>
      <c r="B101" s="207">
        <f>IF(SYSTEMNUMBER&lt;9,B28-(B49*P92/I53*(1-1/EXP(I53))),B97*B28-B49*P92/I53*(1-1/EXP(I53)))</f>
        <v>0.50068529386472349</v>
      </c>
      <c r="C101" s="15" t="s">
        <v>93</v>
      </c>
      <c r="D101" s="15"/>
      <c r="E101" s="15"/>
      <c r="F101" s="15"/>
      <c r="G101" s="15"/>
      <c r="H101" s="15"/>
      <c r="I101" s="11" t="s">
        <v>313</v>
      </c>
      <c r="J101" s="207">
        <f>IF(SelectScenario!G58="NO", LSOFF(B64,I68,P80,P88,B84,I88,SYSTEMNUMBER,E53,E68),LSOFFTP(DATAINPUTncm!M25,P24,DATAINPUTcm!H86,DATAINPUTcm!M33,DATAINPUTcm!M58,DATAINPUTcm!M87,DATAINPUTcm!M86,B64,I68,P80,P88,B84,I88,P68,SYSTEMNUMBER,UNIT,E53,E68))</f>
        <v>5.9231084091375734E-8</v>
      </c>
      <c r="K101" s="15" t="s">
        <v>93</v>
      </c>
      <c r="L101" s="15"/>
      <c r="M101" s="11" t="s">
        <v>349</v>
      </c>
      <c r="N101" s="186">
        <f>100*IF(UNIT="SI-Unit",2450,1053.3)*DATAINPUTcm!M121/(DATAINPUTcm!M116*IF(UNIT="SI-Unit",Others!C7,Others!B7))</f>
        <v>7.0140933162089416</v>
      </c>
      <c r="O101" s="15" t="s">
        <v>93</v>
      </c>
      <c r="P101" s="15"/>
      <c r="Q101" s="11" t="s">
        <v>350</v>
      </c>
      <c r="R101" s="210">
        <f>N101*(IF(UNIT="SI-Unit",4.187,1)*(DATAINPUTcm!M33-IF(UNIT="SI-Unit",21.1,70))-IF(UNIT="SI-Unit",1.88,0.45)*(DATAINPUTcm!M33-P37))/IF(UNIT="SI-Unit",2450,1053.3)</f>
        <v>-4.2818399338482669E-3</v>
      </c>
      <c r="S101" s="15" t="s">
        <v>93</v>
      </c>
      <c r="T101" s="15"/>
      <c r="U101" s="131"/>
    </row>
    <row r="102" spans="1:21">
      <c r="A102" s="158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31"/>
    </row>
    <row r="103" spans="1:21">
      <c r="A103" s="158" t="s">
        <v>201</v>
      </c>
      <c r="B103" s="15"/>
      <c r="C103" s="15"/>
      <c r="D103" s="15" t="s">
        <v>346</v>
      </c>
      <c r="E103" s="15"/>
      <c r="F103" s="15"/>
      <c r="G103" s="15"/>
      <c r="H103" s="15"/>
      <c r="I103" s="15" t="s">
        <v>202</v>
      </c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31"/>
    </row>
    <row r="104" spans="1:21" ht="13.5">
      <c r="A104" s="217" t="s">
        <v>232</v>
      </c>
      <c r="B104" s="208">
        <f>LION(I48,SYSTEMNUMBER,UNIT,P38)</f>
        <v>1.2008218705765406</v>
      </c>
      <c r="C104" s="15" t="s">
        <v>93</v>
      </c>
      <c r="D104" s="11" t="s">
        <v>303</v>
      </c>
      <c r="E104" s="208">
        <f>IF(P41&lt;=IF(UNIT="SI-Unit",-15,5),I49*(IF(UNIT="SI-Unit",21.1,70)-P37),0.5*(I49*(IF(UNIT="SI-Unit",21.1,70)-P37)+I48*(IF(UNIT="SI-Unit",21.1,70)-P38)))</f>
        <v>0.59895417113320082</v>
      </c>
      <c r="F104" s="15" t="s">
        <v>93</v>
      </c>
      <c r="G104" s="15"/>
      <c r="H104" s="15"/>
      <c r="I104" s="11" t="s">
        <v>231</v>
      </c>
      <c r="J104" s="250">
        <f>IF(SelectScenario!G58="NO",LIOFF(I63,I67,P79,P87,B83,I87,SYSTEMNUMBER,UNIT,P38,E52,E67),LIOFFTP(DATAINPUTcm!F25,AFUEAcm!P23,DATAINPUTcm!A86,DATAINPUTcm!F33,DATAINPUTcm!F58,DATAINPUTcm!F87,DATAINPUTncm!F86,AFUEAcm!I63,AFUEAcm!I67,AFUEAcm!P79,AFUEAcm!P87,AFUEAcm!B83,AFUEAcm!I87,AFUEAcm!P67,SYSTEMNUMBER,UNIT,P38,E52,E67))</f>
        <v>0.18705101685527009</v>
      </c>
      <c r="K104" s="15" t="s">
        <v>93</v>
      </c>
      <c r="L104" s="15"/>
      <c r="M104" s="15"/>
      <c r="N104" s="15"/>
      <c r="O104" s="15"/>
      <c r="P104" s="15"/>
      <c r="Q104" s="15"/>
      <c r="R104" s="15"/>
      <c r="S104" s="15"/>
      <c r="T104" s="15"/>
      <c r="U104" s="131"/>
    </row>
    <row r="105" spans="1:21" ht="13.5">
      <c r="A105" s="217" t="s">
        <v>314</v>
      </c>
      <c r="B105" s="208">
        <f>LION(I49,SYSTEMNUMBER,UNIT,P37)</f>
        <v>0.59895417113320082</v>
      </c>
      <c r="C105" s="15" t="s">
        <v>93</v>
      </c>
      <c r="D105" s="11"/>
      <c r="E105" s="150"/>
      <c r="F105" s="15"/>
      <c r="G105" s="15"/>
      <c r="H105" s="15"/>
      <c r="I105" s="11" t="s">
        <v>315</v>
      </c>
      <c r="J105" s="250">
        <f>IF(SelectScenario!G58="NO",LIOFF(I64,I68,P80,P88,B84,I88,SYSTEMNUMBER,UNIT,P37,E53,E68),LIOFFTP(DATAINPUTcm!M25,AFUEAcm!P24,DATAINPUTcm!H86,DATAINPUTcm!M33,DATAINPUTcm!M58,DATAINPUTcm!M87,DATAINPUTcm!M86,AFUEAcm!I64,AFUEAcm!I68,AFUEAcm!P80,AFUEAcm!P88,AFUEAcm!B84,AFUEAcm!I88,AFUEAcm!P68,SYSTEMNUMBER,UNIT,P37,E53,E68))</f>
        <v>0.48941272080919523</v>
      </c>
      <c r="K105" s="15" t="s">
        <v>93</v>
      </c>
      <c r="L105" s="15"/>
      <c r="M105" s="15"/>
      <c r="N105" s="15"/>
      <c r="O105" s="15"/>
      <c r="P105" s="15"/>
      <c r="Q105" s="15"/>
      <c r="R105" s="15"/>
      <c r="S105" s="15"/>
      <c r="T105" s="15"/>
      <c r="U105" s="131"/>
    </row>
    <row r="106" spans="1:21">
      <c r="A106" s="158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379"/>
      <c r="N106" s="15"/>
      <c r="O106" s="15"/>
      <c r="P106" s="15"/>
      <c r="Q106" s="15"/>
      <c r="R106" s="15"/>
      <c r="S106" s="15"/>
      <c r="T106" s="15"/>
      <c r="U106" s="131"/>
    </row>
    <row r="107" spans="1:21">
      <c r="A107" s="158" t="s">
        <v>203</v>
      </c>
      <c r="B107" s="15"/>
      <c r="C107" s="15"/>
      <c r="D107" s="15"/>
      <c r="E107" s="15"/>
      <c r="F107" s="15"/>
      <c r="G107" s="15"/>
      <c r="H107" s="15"/>
      <c r="I107" s="15" t="s">
        <v>205</v>
      </c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31"/>
    </row>
    <row r="108" spans="1:21" ht="13.5">
      <c r="A108" s="217" t="s">
        <v>204</v>
      </c>
      <c r="B108" s="186">
        <f>IF(P41&lt;=IF(UNIT="SI-Unit",-15,5),B58,IF(SelectScenario!G6="Step_Modulating",B41*P44+I41*B58,B41*I58+I41*B58))</f>
        <v>95.879322911104595</v>
      </c>
      <c r="C108" s="15" t="s">
        <v>93</v>
      </c>
      <c r="D108" s="15"/>
      <c r="E108" s="15"/>
      <c r="F108" s="15"/>
      <c r="G108" s="15"/>
      <c r="H108" s="15"/>
      <c r="I108" s="11" t="s">
        <v>206</v>
      </c>
      <c r="J108" s="186">
        <f>IF(UNIT="SI-Unit",2889,5200)*B108*I44/(IF(UNIT="SI-Unit",2889,5200)*I44+2.5/(IF(UNIT="SI-Unit",1.8,1))*(1+I36)*4600*B108*DATAINPUTcm!F79/DATAINPUTcm!F25)</f>
        <v>95.879322911104595</v>
      </c>
      <c r="K108" s="15" t="s">
        <v>93</v>
      </c>
      <c r="L108" s="15"/>
      <c r="M108" s="15"/>
      <c r="N108" s="15"/>
      <c r="O108" s="15"/>
      <c r="P108" s="15"/>
      <c r="Q108" s="15"/>
      <c r="R108" s="15"/>
      <c r="S108" s="15"/>
      <c r="T108" s="15"/>
      <c r="U108" s="223"/>
    </row>
    <row r="109" spans="1:21" ht="13.5">
      <c r="A109" s="217" t="s">
        <v>204</v>
      </c>
      <c r="B109" s="186">
        <f>IF(P41&lt;=IF(UNIT="SI-Unit",-15,5),B59,IF(SelectScenario!G6="Step_Modulating",B41*P44+I41*B59,B41*I59+I41*B59))</f>
        <v>96.911678128284407</v>
      </c>
      <c r="C109" s="243" t="s">
        <v>347</v>
      </c>
      <c r="D109" s="15"/>
      <c r="E109" s="15"/>
      <c r="F109" s="15"/>
      <c r="G109" s="15"/>
      <c r="H109" s="15"/>
      <c r="I109" s="11" t="s">
        <v>206</v>
      </c>
      <c r="J109" s="186">
        <f>IF(UNIT="SI-Unit",2889,5200)*B109*I44/(IF(UNIT="SI-Unit",2889,5200)*I44+2.5/(IF(UNIT="SI-Unit",1.8,1))*(1+I36)*4600*B109*DATAINPUTcm!F79/DATAINPUTcm!F25)</f>
        <v>96.911678128284407</v>
      </c>
      <c r="K109" s="243" t="s">
        <v>347</v>
      </c>
      <c r="L109" s="15"/>
      <c r="M109" s="15"/>
      <c r="N109" s="15"/>
      <c r="O109" s="15"/>
      <c r="P109" s="15"/>
      <c r="Q109" s="15"/>
      <c r="R109" s="15"/>
      <c r="S109" s="15"/>
      <c r="T109" s="15"/>
      <c r="U109" s="131"/>
    </row>
    <row r="110" spans="1:21" ht="12.75" thickBot="1">
      <c r="A110" s="161"/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4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246593-962C-4F74-A004-9C8BDF064F62}">
          <x14:formula1>
            <xm:f>SelectScenario!$AA$32:$AA$33</xm:f>
          </x14:formula1>
          <xm:sqref>R75:R77 B72 P70:P72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725E8-7DF6-4A92-B87A-4B5A466D109A}">
  <sheetPr codeName="Sheet4"/>
  <dimension ref="J1:T27"/>
  <sheetViews>
    <sheetView tabSelected="1" workbookViewId="0">
      <selection activeCell="K15" sqref="K15:S26"/>
    </sheetView>
  </sheetViews>
  <sheetFormatPr defaultRowHeight="15"/>
  <cols>
    <col min="1" max="10" width="9.140625" style="2"/>
    <col min="11" max="11" width="9.28515625" style="2" customWidth="1"/>
    <col min="12" max="16384" width="9.140625" style="2"/>
  </cols>
  <sheetData>
    <row r="1" spans="10:20">
      <c r="J1" s="62"/>
      <c r="K1" s="381" t="s">
        <v>176</v>
      </c>
      <c r="L1" s="382"/>
      <c r="M1" s="382"/>
      <c r="N1" s="382"/>
      <c r="O1" s="382"/>
      <c r="P1" s="382"/>
      <c r="Q1" s="382"/>
      <c r="R1" s="382"/>
      <c r="S1" s="382"/>
      <c r="T1" s="64"/>
    </row>
    <row r="2" spans="10:20">
      <c r="J2" s="65"/>
      <c r="T2" s="79"/>
    </row>
    <row r="3" spans="10:20">
      <c r="J3" s="65"/>
      <c r="K3" s="165"/>
      <c r="L3" s="166"/>
      <c r="M3" s="166"/>
      <c r="N3" s="166"/>
      <c r="O3" s="166"/>
      <c r="P3" s="166"/>
      <c r="Q3" s="167"/>
      <c r="T3" s="79"/>
    </row>
    <row r="4" spans="10:20">
      <c r="J4" s="65"/>
      <c r="K4" s="168"/>
      <c r="L4" s="380" t="s">
        <v>397</v>
      </c>
      <c r="M4" s="380"/>
      <c r="N4" s="380"/>
      <c r="O4" s="380"/>
      <c r="P4" s="380"/>
      <c r="Q4" s="169"/>
      <c r="T4" s="79"/>
    </row>
    <row r="5" spans="10:20">
      <c r="J5" s="65"/>
      <c r="K5" s="168"/>
      <c r="L5" s="380"/>
      <c r="M5" s="380"/>
      <c r="N5" s="380"/>
      <c r="O5" s="380"/>
      <c r="P5" s="380"/>
      <c r="Q5" s="169"/>
      <c r="T5" s="79"/>
    </row>
    <row r="6" spans="10:20">
      <c r="J6" s="65"/>
      <c r="K6" s="168"/>
      <c r="L6" s="380"/>
      <c r="M6" s="380"/>
      <c r="N6" s="380"/>
      <c r="O6" s="380"/>
      <c r="P6" s="380"/>
      <c r="Q6" s="169"/>
      <c r="T6" s="79"/>
    </row>
    <row r="7" spans="10:20">
      <c r="J7" s="65"/>
      <c r="K7" s="168"/>
      <c r="L7" s="380"/>
      <c r="M7" s="380"/>
      <c r="N7" s="380"/>
      <c r="O7" s="380"/>
      <c r="P7" s="380"/>
      <c r="Q7" s="169"/>
      <c r="T7" s="79"/>
    </row>
    <row r="8" spans="10:20">
      <c r="J8" s="65"/>
      <c r="K8" s="168"/>
      <c r="L8" s="380"/>
      <c r="M8" s="380"/>
      <c r="N8" s="380"/>
      <c r="O8" s="380"/>
      <c r="P8" s="380"/>
      <c r="Q8" s="169"/>
      <c r="T8" s="79"/>
    </row>
    <row r="9" spans="10:20">
      <c r="J9" s="65"/>
      <c r="K9" s="168"/>
      <c r="L9" s="170" t="s">
        <v>177</v>
      </c>
      <c r="M9" s="170"/>
      <c r="N9" s="170"/>
      <c r="O9" s="170"/>
      <c r="P9" s="170"/>
      <c r="Q9" s="169"/>
      <c r="T9" s="79"/>
    </row>
    <row r="10" spans="10:20">
      <c r="J10" s="65"/>
      <c r="K10" s="168"/>
      <c r="L10" s="170" t="s">
        <v>178</v>
      </c>
      <c r="M10" s="170"/>
      <c r="N10" s="170"/>
      <c r="O10" s="170"/>
      <c r="P10" s="170"/>
      <c r="Q10" s="169"/>
      <c r="T10" s="79"/>
    </row>
    <row r="11" spans="10:20">
      <c r="J11" s="65"/>
      <c r="K11" s="168"/>
      <c r="L11" s="170" t="s">
        <v>389</v>
      </c>
      <c r="M11" s="170"/>
      <c r="N11" s="170"/>
      <c r="O11" s="170"/>
      <c r="P11" s="170"/>
      <c r="Q11" s="169"/>
      <c r="T11" s="79"/>
    </row>
    <row r="12" spans="10:20">
      <c r="J12" s="65"/>
      <c r="K12" s="168"/>
      <c r="L12" s="170"/>
      <c r="M12" s="170"/>
      <c r="N12" s="170"/>
      <c r="O12" s="170"/>
      <c r="P12" s="170"/>
      <c r="Q12" s="169"/>
      <c r="T12" s="79"/>
    </row>
    <row r="13" spans="10:20">
      <c r="J13" s="65"/>
      <c r="K13" s="171"/>
      <c r="L13" s="172"/>
      <c r="M13" s="172"/>
      <c r="N13" s="172"/>
      <c r="O13" s="172"/>
      <c r="P13" s="172"/>
      <c r="Q13" s="173"/>
      <c r="T13" s="79"/>
    </row>
    <row r="14" spans="10:20">
      <c r="J14" s="65"/>
      <c r="T14" s="79"/>
    </row>
    <row r="15" spans="10:20" ht="15.75">
      <c r="J15" s="65"/>
      <c r="K15" s="373" t="s">
        <v>379</v>
      </c>
      <c r="T15" s="79"/>
    </row>
    <row r="16" spans="10:20">
      <c r="J16" s="65"/>
      <c r="K16" s="374" t="s">
        <v>385</v>
      </c>
      <c r="L16" s="374"/>
      <c r="M16" s="374"/>
      <c r="N16" s="374"/>
      <c r="O16" s="374"/>
      <c r="P16" s="374"/>
      <c r="T16" s="79"/>
    </row>
    <row r="17" spans="10:20">
      <c r="J17" s="65"/>
      <c r="K17" s="126" t="s">
        <v>380</v>
      </c>
      <c r="L17" s="2" t="s">
        <v>2</v>
      </c>
      <c r="T17" s="79"/>
    </row>
    <row r="18" spans="10:20">
      <c r="J18" s="65"/>
      <c r="K18" s="126" t="s">
        <v>381</v>
      </c>
      <c r="L18" s="2" t="s">
        <v>24</v>
      </c>
      <c r="T18" s="79"/>
    </row>
    <row r="19" spans="10:20">
      <c r="J19" s="65"/>
      <c r="K19" s="126" t="s">
        <v>382</v>
      </c>
      <c r="L19" s="2" t="s">
        <v>22</v>
      </c>
      <c r="T19" s="79"/>
    </row>
    <row r="20" spans="10:20">
      <c r="J20" s="65"/>
      <c r="K20" s="126" t="s">
        <v>383</v>
      </c>
      <c r="L20" s="2" t="s">
        <v>392</v>
      </c>
      <c r="T20" s="79"/>
    </row>
    <row r="21" spans="10:20">
      <c r="J21" s="65"/>
      <c r="K21" s="375" t="s">
        <v>384</v>
      </c>
      <c r="T21" s="79"/>
    </row>
    <row r="22" spans="10:20">
      <c r="J22" s="65"/>
      <c r="K22" s="126" t="s">
        <v>380</v>
      </c>
      <c r="L22" s="2" t="s">
        <v>386</v>
      </c>
      <c r="T22" s="79"/>
    </row>
    <row r="23" spans="10:20">
      <c r="J23" s="65"/>
      <c r="K23" s="126" t="s">
        <v>381</v>
      </c>
      <c r="L23" s="2" t="s">
        <v>387</v>
      </c>
      <c r="T23" s="79"/>
    </row>
    <row r="24" spans="10:20">
      <c r="J24" s="65"/>
      <c r="K24" s="375" t="s">
        <v>390</v>
      </c>
      <c r="T24" s="79"/>
    </row>
    <row r="25" spans="10:20">
      <c r="J25" s="65"/>
      <c r="K25" s="126" t="s">
        <v>380</v>
      </c>
      <c r="L25" s="2" t="s">
        <v>391</v>
      </c>
      <c r="T25" s="79"/>
    </row>
    <row r="26" spans="10:20">
      <c r="J26" s="65"/>
      <c r="K26" s="375" t="s">
        <v>388</v>
      </c>
      <c r="T26" s="79"/>
    </row>
    <row r="27" spans="10:20" ht="15.75" thickBot="1">
      <c r="J27" s="71"/>
      <c r="K27" s="72"/>
      <c r="L27" s="72"/>
      <c r="M27" s="72"/>
      <c r="N27" s="72"/>
      <c r="O27" s="72"/>
      <c r="P27" s="72"/>
      <c r="Q27" s="72"/>
      <c r="R27" s="72"/>
      <c r="S27" s="72"/>
      <c r="T27" s="74"/>
    </row>
  </sheetData>
  <mergeCells count="1">
    <mergeCell ref="L4:P8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1A923-7D9C-4F1B-906B-B616B807F212}">
  <sheetPr codeName="Sheet5"/>
  <dimension ref="A1:P17"/>
  <sheetViews>
    <sheetView workbookViewId="0">
      <selection activeCell="M7" sqref="M7"/>
    </sheetView>
  </sheetViews>
  <sheetFormatPr defaultRowHeight="15"/>
  <cols>
    <col min="1" max="1" width="17.7109375" customWidth="1"/>
    <col min="2" max="2" width="13.42578125" bestFit="1" customWidth="1"/>
    <col min="3" max="3" width="14.42578125" bestFit="1" customWidth="1"/>
    <col min="4" max="4" width="13.42578125" bestFit="1" customWidth="1"/>
    <col min="5" max="5" width="14.140625" bestFit="1" customWidth="1"/>
    <col min="6" max="6" width="13.42578125" bestFit="1" customWidth="1"/>
    <col min="7" max="7" width="13.85546875" customWidth="1"/>
    <col min="8" max="8" width="13.42578125" bestFit="1" customWidth="1"/>
    <col min="9" max="9" width="14.140625" bestFit="1" customWidth="1"/>
    <col min="10" max="10" width="13.42578125" bestFit="1" customWidth="1"/>
    <col min="11" max="11" width="14.140625" bestFit="1" customWidth="1"/>
    <col min="12" max="12" width="13.42578125" bestFit="1" customWidth="1"/>
  </cols>
  <sheetData>
    <row r="1" spans="1:16" ht="15.75" thickBot="1"/>
    <row r="2" spans="1:16">
      <c r="A2" s="119"/>
      <c r="B2" s="120" t="s">
        <v>108</v>
      </c>
      <c r="C2" s="121" t="s">
        <v>109</v>
      </c>
      <c r="E2" s="119" t="s">
        <v>112</v>
      </c>
      <c r="F2" s="120" t="s">
        <v>110</v>
      </c>
      <c r="G2" s="121" t="s">
        <v>111</v>
      </c>
    </row>
    <row r="3" spans="1:16" ht="15.75" thickBot="1">
      <c r="A3" s="122" t="s">
        <v>86</v>
      </c>
      <c r="B3" s="123">
        <v>460</v>
      </c>
      <c r="C3" s="124">
        <v>273.2</v>
      </c>
      <c r="E3" s="122" t="s">
        <v>107</v>
      </c>
      <c r="F3" s="123">
        <v>0.24</v>
      </c>
      <c r="G3" s="124">
        <v>1.0049999999999999</v>
      </c>
    </row>
    <row r="4" spans="1:16" ht="15.75" thickBot="1"/>
    <row r="5" spans="1:16">
      <c r="A5" s="111" t="s">
        <v>70</v>
      </c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3"/>
    </row>
    <row r="6" spans="1:16">
      <c r="A6" s="114"/>
      <c r="B6" s="107" t="s">
        <v>71</v>
      </c>
      <c r="C6" s="107" t="s">
        <v>375</v>
      </c>
      <c r="D6" s="107" t="s">
        <v>73</v>
      </c>
      <c r="E6" s="107" t="s">
        <v>74</v>
      </c>
      <c r="F6" s="107" t="s">
        <v>75</v>
      </c>
      <c r="G6" s="107" t="s">
        <v>76</v>
      </c>
      <c r="H6" s="107" t="s">
        <v>77</v>
      </c>
      <c r="I6" s="107" t="s">
        <v>78</v>
      </c>
      <c r="J6" s="107" t="s">
        <v>79</v>
      </c>
      <c r="K6" s="107" t="s">
        <v>80</v>
      </c>
      <c r="L6" s="107" t="s">
        <v>81</v>
      </c>
      <c r="M6" s="107" t="s">
        <v>82</v>
      </c>
      <c r="N6" s="107" t="s">
        <v>83</v>
      </c>
      <c r="O6" s="107" t="s">
        <v>84</v>
      </c>
      <c r="P6" s="115" t="s">
        <v>85</v>
      </c>
    </row>
    <row r="7" spans="1:16">
      <c r="A7" s="114" t="s">
        <v>72</v>
      </c>
      <c r="B7" s="107">
        <f>20120</f>
        <v>20120</v>
      </c>
      <c r="C7" s="107">
        <v>46799</v>
      </c>
      <c r="D7" s="107">
        <v>14.45</v>
      </c>
      <c r="E7" s="107">
        <v>9.5500000000000007</v>
      </c>
      <c r="F7" s="107">
        <v>9.1939999999999994E-2</v>
      </c>
      <c r="G7" s="107">
        <v>10.96</v>
      </c>
      <c r="H7" s="108">
        <v>0.25949477999999998</v>
      </c>
      <c r="I7" s="108">
        <v>-4.9475802E-6</v>
      </c>
      <c r="J7" s="108">
        <v>1.3885838000000001E-8</v>
      </c>
      <c r="K7" s="108">
        <v>-2.8059994E-12</v>
      </c>
      <c r="L7" s="108">
        <v>3.7682440000000001E-17</v>
      </c>
      <c r="M7" s="109">
        <v>1</v>
      </c>
      <c r="N7" s="109">
        <v>0.429923</v>
      </c>
      <c r="O7" s="109">
        <v>1</v>
      </c>
      <c r="P7" s="116">
        <v>1.8</v>
      </c>
    </row>
    <row r="8" spans="1:16">
      <c r="A8" s="65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79"/>
    </row>
    <row r="9" spans="1:16">
      <c r="A9" s="114"/>
      <c r="B9" s="110" t="s">
        <v>88</v>
      </c>
      <c r="C9" s="110" t="s">
        <v>89</v>
      </c>
      <c r="D9" s="110" t="s">
        <v>90</v>
      </c>
      <c r="E9" s="110" t="s">
        <v>91</v>
      </c>
      <c r="F9" s="110" t="s">
        <v>92</v>
      </c>
      <c r="G9" s="2"/>
      <c r="H9" s="2"/>
      <c r="I9" s="2"/>
      <c r="J9" s="2"/>
      <c r="K9" s="2"/>
      <c r="L9" s="2"/>
      <c r="M9" s="2"/>
      <c r="N9" s="2"/>
      <c r="O9" s="2"/>
      <c r="P9" s="79"/>
    </row>
    <row r="10" spans="1:16" ht="15.75" thickBot="1">
      <c r="A10" s="117" t="s">
        <v>87</v>
      </c>
      <c r="B10" s="118">
        <v>0.25462120999999999</v>
      </c>
      <c r="C10" s="118">
        <v>-3.0260126E-5</v>
      </c>
      <c r="D10" s="118">
        <v>2.7608571000000001E-8</v>
      </c>
      <c r="E10" s="118">
        <v>-7.4253321000000006E-12</v>
      </c>
      <c r="F10" s="118">
        <v>6.4307377000000003E-16</v>
      </c>
      <c r="G10" s="72"/>
      <c r="H10" s="72"/>
      <c r="I10" s="72"/>
      <c r="J10" s="72"/>
      <c r="K10" s="72"/>
      <c r="L10" s="72"/>
      <c r="M10" s="72"/>
      <c r="N10" s="72"/>
      <c r="O10" s="72"/>
      <c r="P10" s="74"/>
    </row>
    <row r="13" spans="1:16">
      <c r="A13" s="176" t="s">
        <v>184</v>
      </c>
    </row>
    <row r="14" spans="1:16">
      <c r="A14" s="176" t="s">
        <v>185</v>
      </c>
    </row>
    <row r="15" spans="1:16">
      <c r="A15" s="176" t="s">
        <v>186</v>
      </c>
    </row>
    <row r="16" spans="1:16">
      <c r="A16" s="176" t="s">
        <v>187</v>
      </c>
    </row>
    <row r="17" spans="1:1">
      <c r="A17" s="176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SelectScenario</vt:lpstr>
      <vt:lpstr>DATAINPUTncnm</vt:lpstr>
      <vt:lpstr>AFUEAncnm</vt:lpstr>
      <vt:lpstr>DATAINPUTcnm</vt:lpstr>
      <vt:lpstr>AFUEAcnm</vt:lpstr>
      <vt:lpstr>DATAINPUTncm</vt:lpstr>
      <vt:lpstr>AFUEAncm</vt:lpstr>
      <vt:lpstr>DATAINPUTcm</vt:lpstr>
      <vt:lpstr>AFUEAcm</vt:lpstr>
      <vt:lpstr>Helps</vt:lpstr>
      <vt:lpstr>Others</vt:lpstr>
      <vt:lpstr>CPAIRBRITISH</vt:lpstr>
      <vt:lpstr>CPAIRSI</vt:lpstr>
      <vt:lpstr>SYSTEMNUMBER</vt:lpstr>
      <vt:lpstr>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Gao, Zhiming</dc:creator>
  <cp:lastModifiedBy>Gao, Zhiming</cp:lastModifiedBy>
  <cp:lastPrinted>2019-02-12T21:32:31Z</cp:lastPrinted>
  <dcterms:created xsi:type="dcterms:W3CDTF">2019-02-05T14:47:25Z</dcterms:created>
  <dcterms:modified xsi:type="dcterms:W3CDTF">2026-02-24T22:55:37Z</dcterms:modified>
</cp:coreProperties>
</file>